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p\Desktop\"/>
    </mc:Choice>
  </mc:AlternateContent>
  <xr:revisionPtr revIDLastSave="0" documentId="13_ncr:2001_{AB4969BA-2417-4ED7-B139-FCBD03F290D7}" xr6:coauthVersionLast="47" xr6:coauthVersionMax="47" xr10:uidLastSave="{00000000-0000-0000-0000-000000000000}"/>
  <bookViews>
    <workbookView xWindow="25490" yWindow="-110" windowWidth="38620" windowHeight="21100" activeTab="2" xr2:uid="{00000000-000D-0000-FFFF-FFFF00000000}"/>
  </bookViews>
  <sheets>
    <sheet name="SORU 1" sheetId="1" r:id="rId1"/>
    <sheet name="SORU 2" sheetId="2" r:id="rId2"/>
    <sheet name="SORU 3" sheetId="3" r:id="rId3"/>
  </sheets>
  <definedNames>
    <definedName name="_xlchart.v1.0" hidden="1">'SORU 1'!$AD$67:$AE$85</definedName>
    <definedName name="_xlchart.v1.1" hidden="1">'SORU 1'!$AF$66</definedName>
    <definedName name="_xlchart.v1.2" hidden="1">'SORU 1'!$AF$67:$AF$85</definedName>
  </definedNames>
  <calcPr calcId="191029"/>
  <pivotCaches>
    <pivotCache cacheId="1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2" l="1"/>
  <c r="L13" i="2" s="1"/>
  <c r="J13" i="2"/>
  <c r="N12" i="2"/>
  <c r="M6" i="2"/>
  <c r="N6" i="2"/>
  <c r="D73" i="3" l="1"/>
  <c r="L6" i="2"/>
  <c r="G15" i="3"/>
  <c r="F72" i="3"/>
  <c r="F73" i="3" s="1"/>
  <c r="E73" i="3"/>
  <c r="E72" i="3"/>
  <c r="D72" i="3"/>
  <c r="K67" i="2" l="1"/>
  <c r="K64" i="2"/>
  <c r="K63" i="2"/>
  <c r="K66" i="2"/>
  <c r="K65" i="2"/>
  <c r="L7" i="2"/>
  <c r="L9" i="2"/>
  <c r="M9" i="2" s="1"/>
  <c r="L8" i="2"/>
  <c r="L10" i="2"/>
  <c r="M10" i="2" s="1"/>
  <c r="G14" i="3"/>
  <c r="J10" i="3" s="1"/>
  <c r="I10" i="3"/>
  <c r="I11" i="3"/>
  <c r="I12" i="3"/>
  <c r="I13" i="3"/>
  <c r="I9" i="3"/>
  <c r="I72" i="1"/>
  <c r="I73" i="1"/>
  <c r="I74" i="1"/>
  <c r="I75" i="1"/>
  <c r="I71" i="1"/>
  <c r="J13" i="1"/>
  <c r="L9" i="1"/>
  <c r="L10" i="1"/>
  <c r="L11" i="1"/>
  <c r="L12" i="1"/>
  <c r="L8" i="1"/>
  <c r="I13" i="1"/>
  <c r="K9" i="1" s="1"/>
  <c r="J13" i="3" l="1"/>
  <c r="J12" i="3"/>
  <c r="J11" i="3"/>
  <c r="J9" i="3"/>
  <c r="M7" i="2"/>
  <c r="N7" i="2" s="1"/>
  <c r="N9" i="2"/>
  <c r="N10" i="2"/>
  <c r="M8" i="2"/>
  <c r="N8" i="2" s="1"/>
  <c r="O8" i="1"/>
  <c r="K8" i="1"/>
  <c r="K12" i="1"/>
  <c r="K11" i="1"/>
  <c r="K10" i="1"/>
</calcChain>
</file>

<file path=xl/sharedStrings.xml><?xml version="1.0" encoding="utf-8"?>
<sst xmlns="http://schemas.openxmlformats.org/spreadsheetml/2006/main" count="731" uniqueCount="205">
  <si>
    <t>Ürün_ID</t>
  </si>
  <si>
    <t>Ürün_Adi</t>
  </si>
  <si>
    <t>Kategori_ID</t>
  </si>
  <si>
    <t>Kategori_Adi</t>
  </si>
  <si>
    <t>Tedarikci_ID</t>
  </si>
  <si>
    <t>Birim_Fiyat</t>
  </si>
  <si>
    <t>Toplam_Gelir</t>
  </si>
  <si>
    <t>Côte de Blaye</t>
  </si>
  <si>
    <t>Beverages</t>
  </si>
  <si>
    <t>Aux joyeux ecclésiastiques</t>
  </si>
  <si>
    <t>Thüringer Rostbratwurst</t>
  </si>
  <si>
    <t>Meat/Poultry</t>
  </si>
  <si>
    <t>Plutzer Lebensmittelgroßmärkte AG</t>
  </si>
  <si>
    <t>Raclette Courdavault</t>
  </si>
  <si>
    <t>Dairy Products</t>
  </si>
  <si>
    <t>Gai pâturage</t>
  </si>
  <si>
    <t>Tarte au sucre</t>
  </si>
  <si>
    <t>Confections</t>
  </si>
  <si>
    <t>Forêts d'érables</t>
  </si>
  <si>
    <t>Camembert Pierrot</t>
  </si>
  <si>
    <t>En Yüksek Gelir Getiren 5 Ürünü ve Alternatif Tedarikçi Önerileri</t>
  </si>
  <si>
    <t>Toplam satış gelirine göre en yüksek geliri sağlayan ilk 5 ürünü bulunuz.</t>
  </si>
  <si>
    <t>Mevcut_Tedarikci</t>
  </si>
  <si>
    <t>Alternatif_Ürün</t>
  </si>
  <si>
    <t>Alternatif_Tedarikci</t>
  </si>
  <si>
    <t>Chai</t>
  </si>
  <si>
    <t>Exotic Liquids</t>
  </si>
  <si>
    <t>Chang</t>
  </si>
  <si>
    <t>Guaraná Fantástica</t>
  </si>
  <si>
    <t>Refrescos Americanas LTDA</t>
  </si>
  <si>
    <t>Sasquatch Ale</t>
  </si>
  <si>
    <t>Bigfoot Breweries</t>
  </si>
  <si>
    <t>Steeleye Stout</t>
  </si>
  <si>
    <t>Ipoh Coffee</t>
  </si>
  <si>
    <t>Leka Trading</t>
  </si>
  <si>
    <t>Laughing Lumberjack Lager</t>
  </si>
  <si>
    <t>Outback Lager</t>
  </si>
  <si>
    <t>Pavlova, Ltd.</t>
  </si>
  <si>
    <t>Rhönbräu Klosterbier</t>
  </si>
  <si>
    <t>Lakkalikööri</t>
  </si>
  <si>
    <t>Karkki Oy</t>
  </si>
  <si>
    <t>Mishi Kobe Niku</t>
  </si>
  <si>
    <t>Tokyo Traders</t>
  </si>
  <si>
    <t>Alice Mutton</t>
  </si>
  <si>
    <t>Perth Pasties</t>
  </si>
  <si>
    <t>G'day, Mate</t>
  </si>
  <si>
    <t>Tourtière</t>
  </si>
  <si>
    <t>Ma Maison</t>
  </si>
  <si>
    <t>Pâté chinois</t>
  </si>
  <si>
    <t>Queso Cabrales</t>
  </si>
  <si>
    <t>Cooperativa de Quesos 'Las Cabras'</t>
  </si>
  <si>
    <t>Queso Manchego La Pastora</t>
  </si>
  <si>
    <t>Gorgonzola Telino</t>
  </si>
  <si>
    <t>Formaggi Fortini s.r.l.</t>
  </si>
  <si>
    <t>Mascarpone Fabioli</t>
  </si>
  <si>
    <t>Geitost</t>
  </si>
  <si>
    <t>Norske Meierier</t>
  </si>
  <si>
    <t>Gudbrandsdalsost</t>
  </si>
  <si>
    <t>Flotemysost</t>
  </si>
  <si>
    <t>Mozzarella di Giovanni</t>
  </si>
  <si>
    <t>Pavlova</t>
  </si>
  <si>
    <t>Teatime Chocolate Biscuits</t>
  </si>
  <si>
    <t>Specialty Biscuits, Ltd.</t>
  </si>
  <si>
    <t>Sir Rodney's Marmalade</t>
  </si>
  <si>
    <t>Sir Rodney's Scones</t>
  </si>
  <si>
    <t>NuNuCa Nuß-Nougat-Creme</t>
  </si>
  <si>
    <t>Heli Süßwaren GmbH &amp; Co. KG</t>
  </si>
  <si>
    <t>Gumbär Gummibärchen</t>
  </si>
  <si>
    <t>Schoggi Schokolade</t>
  </si>
  <si>
    <t>Zaanse koeken</t>
  </si>
  <si>
    <t>Zaanse Snoepfabriek</t>
  </si>
  <si>
    <t>Chocolade</t>
  </si>
  <si>
    <t>Maxilaku</t>
  </si>
  <si>
    <t>Valkoinen suklaa</t>
  </si>
  <si>
    <t>Scottish Longbreads</t>
  </si>
  <si>
    <t>1997 ve 1998'de En Çok Satış Yapan İlk 5 Çalışanı Karşılaştırın ve 1999 İçin Tahmini</t>
  </si>
  <si>
    <t>Performans Senaryosu Oluşturun</t>
  </si>
  <si>
    <t>1997 ve 1998 yıllarında en fazla satış yapan ilk 5 çalışanı bulun.</t>
  </si>
  <si>
    <t>ne kadar satış yapacaklarını tahmin edin.</t>
  </si>
  <si>
    <t>(UnitPrice * Quantity) * (1 - Discount) kullanarak toplam geliri hesaplayınız.</t>
  </si>
  <si>
    <t>Bu ürünlerin hangi tedarikçilerden alındığını analiz edin.</t>
  </si>
  <si>
    <t xml:space="preserve"> Alternatif tedarikçilerin sunduğu fiyatlarla karşılaştırma yapın.</t>
  </si>
  <si>
    <t xml:space="preserve"> İki yıl üst üste listede olan çalışanları belirleyin.</t>
  </si>
  <si>
    <t>Her çalışanın yıllık satış artış oranını hesaplayın.</t>
  </si>
  <si>
    <t>Eğer çalışanlar aynı oranda performanslarını artırmaya devam ederse, 1999 yılında</t>
  </si>
  <si>
    <t>Margaret Peacock</t>
  </si>
  <si>
    <t>Janet Leverling</t>
  </si>
  <si>
    <t>Nancy Davolio</t>
  </si>
  <si>
    <t>Andrew Fuller</t>
  </si>
  <si>
    <t>Robert King</t>
  </si>
  <si>
    <t>Calisan_ID</t>
  </si>
  <si>
    <t>Yil</t>
  </si>
  <si>
    <t>Toplam_Satis</t>
  </si>
  <si>
    <t>RN</t>
  </si>
  <si>
    <t>Adi_Soyadi</t>
  </si>
  <si>
    <t>Toplam_Satis_1997</t>
  </si>
  <si>
    <t>Sira_1997</t>
  </si>
  <si>
    <t>Sira_1998</t>
  </si>
  <si>
    <t>Degisim_Orani</t>
  </si>
  <si>
    <t>Tahmin_1999</t>
  </si>
  <si>
    <t>En Yüksek Satış Geliri Sağlayan 5 Müşteriyi Bulun ve Özel Kampanya Stratejisi Sunun</t>
  </si>
  <si>
    <t>Son iki yılın toplam satış gelirine göre en fazla kazanç sağlayan ilk 5 müşteriyi belirleyiniz.</t>
  </si>
  <si>
    <t>Müşteri adı, toplam sipariş tutarı ve sipariş sayısı listelenmelidir.</t>
  </si>
  <si>
    <t xml:space="preserve"> Bu müşterilerin sipariş alışkanlıklarını analiz edin.</t>
  </si>
  <si>
    <t xml:space="preserve"> Bu müşterilere yönelik özel indirim veya sadakat programı önerin.</t>
  </si>
  <si>
    <t>Müsteri_ID</t>
  </si>
  <si>
    <t>Müsteri_Adi</t>
  </si>
  <si>
    <t>Tenure</t>
  </si>
  <si>
    <t>Recency</t>
  </si>
  <si>
    <t>Frequency</t>
  </si>
  <si>
    <t>Monetary</t>
  </si>
  <si>
    <t>Basket_Size</t>
  </si>
  <si>
    <t>QUICK</t>
  </si>
  <si>
    <t>QUICK-Stop</t>
  </si>
  <si>
    <t>SAVEA</t>
  </si>
  <si>
    <t>Save-a-lot Markets</t>
  </si>
  <si>
    <t>ERNSH</t>
  </si>
  <si>
    <t>Ernst Handel</t>
  </si>
  <si>
    <t>HUNGO</t>
  </si>
  <si>
    <t>Hungry Owl All-Night Grocers</t>
  </si>
  <si>
    <t>RATTC</t>
  </si>
  <si>
    <t>Rattlesnake Canyon Grocery</t>
  </si>
  <si>
    <t xml:space="preserve">Top5 </t>
  </si>
  <si>
    <t>All</t>
  </si>
  <si>
    <t>%</t>
  </si>
  <si>
    <t>top 5 toplam gelirin 31% i</t>
  </si>
  <si>
    <t xml:space="preserve">top5 </t>
  </si>
  <si>
    <t xml:space="preserve">Thüringer Rostbratwurst </t>
  </si>
  <si>
    <t>Thüringer Rostbratwurst (Meat/Poultry)</t>
  </si>
  <si>
    <t xml:space="preserve">Raclette Courdavault </t>
  </si>
  <si>
    <t>Raclette Courdavault , Camembert Pierrot</t>
  </si>
  <si>
    <t xml:space="preserve">Côte de Blaye </t>
  </si>
  <si>
    <t>.</t>
  </si>
  <si>
    <t>Row Labels</t>
  </si>
  <si>
    <t>Grand Total</t>
  </si>
  <si>
    <t>Max of Birim_Fiyat</t>
  </si>
  <si>
    <t>Min of Alternatif_Fiyat</t>
  </si>
  <si>
    <t>Fark</t>
  </si>
  <si>
    <t>“Northwind’de her ürünün tek bir tedarikçisi olduğu için,</t>
  </si>
  <si>
    <r>
      <t xml:space="preserve">alternatif tedarikçiyi </t>
    </r>
    <r>
      <rPr>
        <b/>
        <sz val="11"/>
        <color theme="1"/>
        <rFont val="Aptos Narrow"/>
        <family val="2"/>
        <scheme val="minor"/>
      </rPr>
      <t>aynı kategori içindeki diğer ürünlerin tedarikçileri</t>
    </r>
    <r>
      <rPr>
        <sz val="11"/>
        <color theme="1"/>
        <rFont val="Aptos Narrow"/>
        <family val="2"/>
        <scheme val="minor"/>
      </rPr>
      <t xml:space="preserve"> olarak tanımladım.</t>
    </r>
  </si>
  <si>
    <t>Yani gerçek hayatta ‘şu ürünü başka birinden de alırız’ değil,</t>
  </si>
  <si>
    <t>‘aynı ihtiyacı karşılayabilecek başka ürün+tedarikçi kombinasyonu var mı?’ sorusuna baktım.</t>
  </si>
  <si>
    <t>Adı Soyadı</t>
  </si>
  <si>
    <t>Toplam Satış 1997</t>
  </si>
  <si>
    <t>Toplam Satış 1998</t>
  </si>
  <si>
    <t>Değişim oranı %</t>
  </si>
  <si>
    <t>Tahmin 1999</t>
  </si>
  <si>
    <t xml:space="preserve">% Toplam </t>
  </si>
  <si>
    <t>Tedarikçiler</t>
  </si>
  <si>
    <t>Alternatif Tedarikçiler</t>
  </si>
  <si>
    <t>bev</t>
  </si>
  <si>
    <t>daiir</t>
  </si>
  <si>
    <t>Kategori</t>
  </si>
  <si>
    <t>Dairy</t>
  </si>
  <si>
    <t>Meat / Poultry</t>
  </si>
  <si>
    <t>Sıra</t>
  </si>
  <si>
    <t>Çalışan</t>
  </si>
  <si>
    <t>Ort. Sepet</t>
  </si>
  <si>
    <t>Müşteri Adı</t>
  </si>
  <si>
    <t xml:space="preserve">Toplam_Satis_1998 </t>
  </si>
  <si>
    <t xml:space="preserve">12 AY Toplam Satış 1998 </t>
  </si>
  <si>
    <t>5 Ay Toplam Satış 1998</t>
  </si>
  <si>
    <t>GERCEK DEGISIM ORANI</t>
  </si>
  <si>
    <t xml:space="preserve">yıllık artıs </t>
  </si>
  <si>
    <t>#12335F</t>
  </si>
  <si>
    <t>#0B3D91</t>
  </si>
  <si>
    <t>#1D4ED8</t>
  </si>
  <si>
    <t>#3B82F6</t>
  </si>
  <si>
    <t>#93C5FD</t>
  </si>
  <si>
    <t>Toplam_Satis_1998</t>
  </si>
  <si>
    <t>1998 Toplam Satış</t>
  </si>
  <si>
    <t>1997 Toplam Satış</t>
  </si>
  <si>
    <t>Değişim</t>
  </si>
  <si>
    <t xml:space="preserve">1998 Toplam Satış Toplamı </t>
  </si>
  <si>
    <t>Yıllıklandırılmıştır.</t>
  </si>
  <si>
    <t>↓ 3</t>
  </si>
  <si>
    <t>↑ 1</t>
  </si>
  <si>
    <t>→ 0</t>
  </si>
  <si>
    <t>↑ 2</t>
  </si>
  <si>
    <r>
      <rPr>
        <b/>
        <i/>
        <sz val="11"/>
        <color theme="1"/>
        <rFont val="Aptos Narrow"/>
        <family val="2"/>
        <scheme val="minor"/>
      </rPr>
      <t>Kabul</t>
    </r>
    <r>
      <rPr>
        <i/>
        <sz val="11"/>
        <color theme="1"/>
        <rFont val="Aptos Narrow"/>
        <family val="2"/>
        <scheme val="minor"/>
      </rPr>
      <t>: 1998 yıllık bazda = Haziran–Mayıs  × (12/5) olarak hesaplanmıştır</t>
    </r>
  </si>
  <si>
    <t>#25436C</t>
  </si>
  <si>
    <t>Mevcut Tedarikçiler</t>
  </si>
  <si>
    <t>Value</t>
  </si>
  <si>
    <t xml:space="preserve"> </t>
  </si>
  <si>
    <t>#E8E8E8</t>
  </si>
  <si>
    <t>ProductID</t>
  </si>
  <si>
    <t>Toplam_Adet</t>
  </si>
  <si>
    <t>Toplam € 419K</t>
  </si>
  <si>
    <t xml:space="preserve">Tarte au sucre </t>
  </si>
  <si>
    <t>Raclette Courdavault &amp; Camembert Pierrot</t>
  </si>
  <si>
    <t>Beverage</t>
  </si>
  <si>
    <t>Tedarikçi</t>
  </si>
  <si>
    <t>Ürünler</t>
  </si>
  <si>
    <t>Toplam_Hacim</t>
  </si>
  <si>
    <t>Plutzer Lebensmittel...</t>
  </si>
  <si>
    <t xml:space="preserve">Mevcut Tedarikçi </t>
  </si>
  <si>
    <t xml:space="preserve">Ürün </t>
  </si>
  <si>
    <t xml:space="preserve"> Côte de Blaye</t>
  </si>
  <si>
    <t xml:space="preserve"> Thüringer Rost.</t>
  </si>
  <si>
    <t>Raclette C.</t>
  </si>
  <si>
    <t>Camembert P.</t>
  </si>
  <si>
    <t>Analiz Tarihi = 01.06.1998</t>
  </si>
  <si>
    <t>Müşteri</t>
  </si>
  <si>
    <t>#23509C</t>
  </si>
  <si>
    <t>1999 Senaryosu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</si>
</sst>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_-[$€-2]\ * #,##0.00_-;\-[$€-2]\ * #,##0.00_-;_-[$€-2]\ * &quot;-&quot;??_-;_-@_-"/>
    <numFmt numFmtId="165" formatCode="_-[$€-2]\ * #,##0_-;\-[$€-2]\ * #,##0_-;_-[$€-2]\ * &quot;-&quot;??_-;_-@_-"/>
    <numFmt numFmtId="166" formatCode="&quot;€&quot;#,##0,&quot;k&quot;"/>
    <numFmt numFmtId="169" formatCode="&quot;€&quot;#,##0.00,&quot;k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6"/>
      <color theme="1"/>
      <name val="Aptos Display"/>
      <family val="2"/>
      <scheme val="maj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8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0"/>
      <name val="Times New Roman"/>
      <family val="1"/>
    </font>
    <font>
      <sz val="12"/>
      <color theme="0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3C5FD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2335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0" fillId="0" borderId="11" xfId="0" applyBorder="1"/>
    <xf numFmtId="9" fontId="0" fillId="0" borderId="0" xfId="2" applyFont="1"/>
    <xf numFmtId="165" fontId="0" fillId="0" borderId="8" xfId="0" applyNumberFormat="1" applyBorder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7" xfId="1" applyNumberFormat="1" applyFont="1" applyBorder="1"/>
    <xf numFmtId="165" fontId="0" fillId="0" borderId="8" xfId="1" applyNumberFormat="1" applyFont="1" applyBorder="1"/>
    <xf numFmtId="166" fontId="0" fillId="0" borderId="7" xfId="1" applyNumberFormat="1" applyFont="1" applyBorder="1"/>
    <xf numFmtId="166" fontId="0" fillId="0" borderId="8" xfId="1" applyNumberFormat="1" applyFont="1" applyBorder="1"/>
    <xf numFmtId="166" fontId="0" fillId="0" borderId="0" xfId="0" applyNumberFormat="1"/>
    <xf numFmtId="166" fontId="0" fillId="0" borderId="7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6" fontId="0" fillId="0" borderId="1" xfId="0" applyNumberFormat="1" applyBorder="1"/>
    <xf numFmtId="166" fontId="0" fillId="0" borderId="8" xfId="0" applyNumberFormat="1" applyBorder="1"/>
    <xf numFmtId="1" fontId="0" fillId="0" borderId="1" xfId="0" applyNumberFormat="1" applyBorder="1"/>
    <xf numFmtId="9" fontId="0" fillId="0" borderId="7" xfId="0" applyNumberFormat="1" applyBorder="1"/>
    <xf numFmtId="9" fontId="0" fillId="0" borderId="0" xfId="0" applyNumberFormat="1"/>
    <xf numFmtId="166" fontId="0" fillId="0" borderId="4" xfId="0" applyNumberFormat="1" applyBorder="1"/>
    <xf numFmtId="166" fontId="0" fillId="0" borderId="6" xfId="0" applyNumberFormat="1" applyBorder="1"/>
    <xf numFmtId="0" fontId="0" fillId="2" borderId="2" xfId="0" applyFill="1" applyBorder="1"/>
    <xf numFmtId="0" fontId="0" fillId="0" borderId="12" xfId="0" applyBorder="1"/>
    <xf numFmtId="0" fontId="0" fillId="3" borderId="2" xfId="0" applyFill="1" applyBorder="1"/>
    <xf numFmtId="0" fontId="6" fillId="0" borderId="7" xfId="0" applyFont="1" applyBorder="1"/>
    <xf numFmtId="0" fontId="6" fillId="0" borderId="8" xfId="0" applyFont="1" applyBorder="1"/>
    <xf numFmtId="0" fontId="6" fillId="0" borderId="12" xfId="0" applyFont="1" applyBorder="1"/>
    <xf numFmtId="0" fontId="0" fillId="3" borderId="11" xfId="0" applyFill="1" applyBorder="1"/>
    <xf numFmtId="0" fontId="2" fillId="0" borderId="0" xfId="0" applyFont="1"/>
    <xf numFmtId="0" fontId="0" fillId="4" borderId="2" xfId="0" applyFill="1" applyBorder="1"/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" xfId="0" applyFill="1" applyBorder="1"/>
    <xf numFmtId="0" fontId="0" fillId="5" borderId="11" xfId="0" applyFill="1" applyBorder="1"/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9" fillId="0" borderId="0" xfId="0" applyFont="1"/>
    <xf numFmtId="0" fontId="0" fillId="6" borderId="7" xfId="0" applyFill="1" applyBorder="1"/>
    <xf numFmtId="0" fontId="0" fillId="6" borderId="4" xfId="0" applyFill="1" applyBorder="1"/>
    <xf numFmtId="0" fontId="0" fillId="6" borderId="7" xfId="0" applyFill="1" applyBorder="1" applyAlignment="1">
      <alignment vertical="center" wrapText="1"/>
    </xf>
    <xf numFmtId="0" fontId="0" fillId="6" borderId="8" xfId="0" applyFill="1" applyBorder="1"/>
    <xf numFmtId="0" fontId="0" fillId="6" borderId="6" xfId="0" applyFill="1" applyBorder="1"/>
    <xf numFmtId="0" fontId="0" fillId="6" borderId="8" xfId="0" applyFill="1" applyBorder="1" applyAlignment="1">
      <alignment vertical="center" wrapText="1"/>
    </xf>
    <xf numFmtId="0" fontId="0" fillId="4" borderId="0" xfId="0" applyFill="1"/>
    <xf numFmtId="165" fontId="0" fillId="0" borderId="0" xfId="1" applyNumberFormat="1" applyFont="1"/>
    <xf numFmtId="0" fontId="11" fillId="0" borderId="0" xfId="0" applyFont="1"/>
    <xf numFmtId="0" fontId="4" fillId="0" borderId="0" xfId="0" applyFont="1" applyAlignment="1">
      <alignment horizontal="center" vertical="center" textRotation="45"/>
    </xf>
    <xf numFmtId="0" fontId="5" fillId="0" borderId="0" xfId="0" applyFont="1" applyAlignment="1">
      <alignment horizontal="center" vertical="center" textRotation="45"/>
    </xf>
    <xf numFmtId="0" fontId="3" fillId="0" borderId="0" xfId="0" applyFont="1" applyAlignment="1">
      <alignment horizontal="center" vertical="center" textRotation="45"/>
    </xf>
    <xf numFmtId="0" fontId="12" fillId="0" borderId="9" xfId="0" applyFont="1" applyBorder="1"/>
    <xf numFmtId="0" fontId="12" fillId="0" borderId="2" xfId="0" applyFont="1" applyBorder="1"/>
    <xf numFmtId="0" fontId="12" fillId="0" borderId="11" xfId="0" applyFont="1" applyBorder="1"/>
    <xf numFmtId="0" fontId="12" fillId="0" borderId="14" xfId="0" applyFont="1" applyBorder="1"/>
    <xf numFmtId="0" fontId="12" fillId="0" borderId="12" xfId="0" applyFont="1" applyBorder="1"/>
    <xf numFmtId="0" fontId="12" fillId="0" borderId="7" xfId="0" applyFont="1" applyBorder="1"/>
    <xf numFmtId="0" fontId="12" fillId="0" borderId="4" xfId="0" applyFont="1" applyBorder="1"/>
    <xf numFmtId="0" fontId="13" fillId="0" borderId="3" xfId="0" applyFont="1" applyBorder="1"/>
    <xf numFmtId="0" fontId="13" fillId="0" borderId="13" xfId="0" applyFont="1" applyBorder="1"/>
    <xf numFmtId="0" fontId="15" fillId="7" borderId="9" xfId="0" applyFont="1" applyFill="1" applyBorder="1"/>
    <xf numFmtId="0" fontId="15" fillId="7" borderId="2" xfId="0" applyFont="1" applyFill="1" applyBorder="1"/>
    <xf numFmtId="0" fontId="15" fillId="7" borderId="11" xfId="0" applyFont="1" applyFill="1" applyBorder="1"/>
    <xf numFmtId="0" fontId="14" fillId="0" borderId="11" xfId="0" applyFont="1" applyBorder="1"/>
    <xf numFmtId="0" fontId="16" fillId="7" borderId="14" xfId="0" applyFont="1" applyFill="1" applyBorder="1"/>
    <xf numFmtId="0" fontId="16" fillId="7" borderId="12" xfId="0" applyFont="1" applyFill="1" applyBorder="1"/>
    <xf numFmtId="0" fontId="17" fillId="0" borderId="3" xfId="0" applyFont="1" applyBorder="1"/>
    <xf numFmtId="0" fontId="17" fillId="0" borderId="7" xfId="0" applyFont="1" applyBorder="1"/>
    <xf numFmtId="0" fontId="17" fillId="0" borderId="5" xfId="0" applyFont="1" applyBorder="1"/>
    <xf numFmtId="0" fontId="17" fillId="0" borderId="8" xfId="0" applyFont="1" applyBorder="1"/>
    <xf numFmtId="0" fontId="5" fillId="0" borderId="13" xfId="0" applyFont="1" applyBorder="1" applyAlignment="1">
      <alignment horizontal="center" vertical="center" textRotation="45"/>
    </xf>
    <xf numFmtId="0" fontId="5" fillId="0" borderId="4" xfId="0" applyFont="1" applyBorder="1" applyAlignment="1">
      <alignment horizontal="center" vertical="center" textRotation="45"/>
    </xf>
    <xf numFmtId="0" fontId="5" fillId="0" borderId="6" xfId="0" applyFont="1" applyBorder="1" applyAlignment="1">
      <alignment horizontal="center" vertical="center" textRotation="45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0" borderId="12" xfId="0" applyFont="1" applyBorder="1" applyAlignment="1">
      <alignment horizontal="center" vertical="center" textRotation="45"/>
    </xf>
    <xf numFmtId="0" fontId="4" fillId="0" borderId="7" xfId="0" applyFont="1" applyBorder="1" applyAlignment="1">
      <alignment horizontal="center" vertical="center" textRotation="45"/>
    </xf>
    <xf numFmtId="0" fontId="5" fillId="0" borderId="12" xfId="0" applyFont="1" applyBorder="1" applyAlignment="1">
      <alignment horizontal="center" vertical="center" textRotation="45"/>
    </xf>
    <xf numFmtId="0" fontId="5" fillId="0" borderId="7" xfId="0" applyFont="1" applyBorder="1" applyAlignment="1">
      <alignment horizontal="center" vertical="center" textRotation="45"/>
    </xf>
    <xf numFmtId="0" fontId="3" fillId="0" borderId="12" xfId="0" applyFont="1" applyBorder="1" applyAlignment="1">
      <alignment horizontal="center" vertical="center" textRotation="45"/>
    </xf>
    <xf numFmtId="0" fontId="3" fillId="0" borderId="7" xfId="0" applyFont="1" applyBorder="1" applyAlignment="1">
      <alignment horizontal="center" vertical="center" textRotation="45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169" fontId="0" fillId="0" borderId="0" xfId="0" applyNumberFormat="1"/>
    <xf numFmtId="9" fontId="0" fillId="0" borderId="12" xfId="2" applyNumberFormat="1" applyFont="1" applyBorder="1"/>
    <xf numFmtId="9" fontId="0" fillId="0" borderId="7" xfId="2" applyNumberFormat="1" applyFont="1" applyBorder="1"/>
    <xf numFmtId="9" fontId="0" fillId="0" borderId="8" xfId="2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3B82F6"/>
      <color rgb="FF0B3D91"/>
      <color rgb="FF12335F"/>
      <color rgb="FF993300"/>
      <color rgb="FF93C5FD"/>
      <color rgb="FF1D4ED8"/>
      <color rgb="FFE8E8E8"/>
      <color rgb="FF25436C"/>
      <color rgb="FF000000"/>
      <color rgb="FF2CA0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18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 Yüksek Gelir Getiren 5 Ürünün Tedarikçileri ve İşlem Hacmi</a:t>
            </a:r>
            <a:endParaRPr lang="en-US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4431501130888705"/>
          <c:y val="1.4468809556857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0697402513386"/>
          <c:y val="9.5337492578089322E-2"/>
          <c:w val="0.82725795567929561"/>
          <c:h val="0.848913538609410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'SORU 1'!$U$6</c:f>
              <c:strCache>
                <c:ptCount val="1"/>
                <c:pt idx="0">
                  <c:v>Toplam_Hacim</c:v>
                </c:pt>
              </c:strCache>
            </c:strRef>
          </c:tx>
          <c:spPr>
            <a:solidFill>
              <a:srgbClr val="3B82F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1D4ED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D0-4583-B948-44216FFE9D6E}"/>
              </c:ext>
            </c:extLst>
          </c:dPt>
          <c:dPt>
            <c:idx val="2"/>
            <c:invertIfNegative val="0"/>
            <c:bubble3D val="0"/>
            <c:spPr>
              <a:solidFill>
                <a:srgbClr val="0B3D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AD0-4583-B948-44216FFE9D6E}"/>
              </c:ext>
            </c:extLst>
          </c:dPt>
          <c:dPt>
            <c:idx val="3"/>
            <c:invertIfNegative val="0"/>
            <c:bubble3D val="0"/>
            <c:spPr>
              <a:solidFill>
                <a:srgbClr val="1233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D0-4583-B948-44216FFE9D6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F5EB75B-FBEA-4C3B-AA97-AAD0EBF6708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38DDBDA-9726-4854-8ED4-3AAC8461623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B4C-4529-855F-A2EDFCCC35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36AFAC6-E21D-4B51-9211-1B9F979EEC4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BAAD241-3295-41FF-8A01-8496F08FAEC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AD0-4583-B948-44216FFE9D6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338B91E-AD11-479B-A349-9F47B8FE4DA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36A84B2-27F7-4944-AC40-428D2211F17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AD0-4583-B948-44216FFE9D6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46B40B2-6551-42B0-A1C3-0D609330C36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CEB5181-931C-47A5-9D70-8814CB4AC9FB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AD0-4583-B948-44216FFE9D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'SORU 1'!$S$7:$S$10</c:f>
              <c:strCache>
                <c:ptCount val="4"/>
                <c:pt idx="0">
                  <c:v>Confections</c:v>
                </c:pt>
                <c:pt idx="1">
                  <c:v>Meat/Poultry</c:v>
                </c:pt>
                <c:pt idx="2">
                  <c:v>Dairy Products</c:v>
                </c:pt>
                <c:pt idx="3">
                  <c:v>Beverages</c:v>
                </c:pt>
              </c:strCache>
            </c:strRef>
          </c:cat>
          <c:val>
            <c:numRef>
              <c:f>'SORU 1'!$U$7:$U$10</c:f>
              <c:numCache>
                <c:formatCode>"€"#,##0,"k"</c:formatCode>
                <c:ptCount val="4"/>
                <c:pt idx="0">
                  <c:v>47234.97</c:v>
                </c:pt>
                <c:pt idx="1">
                  <c:v>80368.67</c:v>
                </c:pt>
                <c:pt idx="2">
                  <c:v>117981.18</c:v>
                </c:pt>
                <c:pt idx="3">
                  <c:v>141396.74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'SORU 1'!$T$7:$T$10</c15:f>
                <c15:dlblRangeCache>
                  <c:ptCount val="4"/>
                  <c:pt idx="0">
                    <c:v>Forêts d'érables</c:v>
                  </c:pt>
                  <c:pt idx="1">
                    <c:v>Plutzer Lebensmittelgroßmärkte AG</c:v>
                  </c:pt>
                  <c:pt idx="2">
                    <c:v>Gai pâturage</c:v>
                  </c:pt>
                  <c:pt idx="3">
                    <c:v>Aux joyeux ecclésiastiques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61B-4103-8921-30210AB24AB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91709807"/>
        <c:axId val="1491706927"/>
      </c:barChart>
      <c:catAx>
        <c:axId val="14917098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91706927"/>
        <c:crosses val="autoZero"/>
        <c:auto val="1"/>
        <c:lblAlgn val="ctr"/>
        <c:lblOffset val="100"/>
        <c:noMultiLvlLbl val="0"/>
      </c:catAx>
      <c:valAx>
        <c:axId val="1491706927"/>
        <c:scaling>
          <c:orientation val="minMax"/>
        </c:scaling>
        <c:delete val="1"/>
        <c:axPos val="b"/>
        <c:numFmt formatCode="&quot;€&quot;#,##0,&quot;k&quot;" sourceLinked="1"/>
        <c:majorTickMark val="out"/>
        <c:minorTickMark val="none"/>
        <c:tickLblPos val="nextTo"/>
        <c:crossAx val="149170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 Yüksek Satış Geliri Sağlayan 5 </a:t>
            </a:r>
            <a:r>
              <a:rPr lang="tr-TR" sz="18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Ürün ve Kategorileri  </a:t>
            </a:r>
            <a:endParaRPr lang="en-US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523790245605133E-2"/>
          <c:y val="8.9030325635382865E-2"/>
          <c:w val="0.84111359040293332"/>
          <c:h val="0.82193934872923424"/>
        </c:manualLayout>
      </c:layout>
      <c:doughnutChart>
        <c:varyColors val="1"/>
        <c:ser>
          <c:idx val="0"/>
          <c:order val="0"/>
          <c:tx>
            <c:strRef>
              <c:f>'SORU 1'!$C$7</c:f>
              <c:strCache>
                <c:ptCount val="1"/>
                <c:pt idx="0">
                  <c:v>Ürün_Adi</c:v>
                </c:pt>
              </c:strCache>
            </c:strRef>
          </c:tx>
          <c:dPt>
            <c:idx val="0"/>
            <c:bubble3D val="0"/>
            <c:spPr>
              <a:solidFill>
                <a:srgbClr val="1233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54-442C-A358-1B4725989BEE}"/>
              </c:ext>
            </c:extLst>
          </c:dPt>
          <c:dPt>
            <c:idx val="1"/>
            <c:bubble3D val="0"/>
            <c:spPr>
              <a:solidFill>
                <a:srgbClr val="0B3D9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54-442C-A358-1B4725989BEE}"/>
              </c:ext>
            </c:extLst>
          </c:dPt>
          <c:dPt>
            <c:idx val="2"/>
            <c:bubble3D val="0"/>
            <c:spPr>
              <a:solidFill>
                <a:srgbClr val="1D4ED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54-442C-A358-1B4725989BEE}"/>
              </c:ext>
            </c:extLst>
          </c:dPt>
          <c:dPt>
            <c:idx val="3"/>
            <c:bubble3D val="0"/>
            <c:spPr>
              <a:solidFill>
                <a:srgbClr val="3B82F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54-442C-A358-1B4725989BEE}"/>
              </c:ext>
            </c:extLst>
          </c:dPt>
          <c:dPt>
            <c:idx val="4"/>
            <c:bubble3D val="0"/>
            <c:spPr>
              <a:solidFill>
                <a:srgbClr val="93C5F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54-442C-A358-1B4725989BEE}"/>
              </c:ext>
            </c:extLst>
          </c:dPt>
          <c:dLbls>
            <c:dLbl>
              <c:idx val="0"/>
              <c:layout>
                <c:manualLayout>
                  <c:x val="0.14678868985757054"/>
                  <c:y val="-9.41911620247618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056494876124978"/>
                      <c:h val="7.50262922564781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854-442C-A358-1B4725989BEE}"/>
                </c:ext>
              </c:extLst>
            </c:dLbl>
            <c:dLbl>
              <c:idx val="1"/>
              <c:layout>
                <c:manualLayout>
                  <c:x val="0.18127533413796371"/>
                  <c:y val="0.12875600553537053"/>
                </c:manualLayout>
              </c:layout>
              <c:spPr>
                <a:xfrm>
                  <a:off x="4442966" y="4812225"/>
                  <a:ext cx="1839754" cy="360089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ln w="0">
                        <a:noFill/>
                      </a:ln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70078"/>
                        <a:gd name="adj2" fmla="val -231965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4954783752806092"/>
                      <c:h val="6.7169766833666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854-442C-A358-1B4725989BEE}"/>
                </c:ext>
              </c:extLst>
            </c:dLbl>
            <c:dLbl>
              <c:idx val="2"/>
              <c:layout>
                <c:manualLayout>
                  <c:x val="-0.18628368159406433"/>
                  <c:y val="0.1261727987906494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049088825137162"/>
                      <c:h val="9.162762777999340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854-442C-A358-1B4725989BEE}"/>
                </c:ext>
              </c:extLst>
            </c:dLbl>
            <c:dLbl>
              <c:idx val="3"/>
              <c:layout>
                <c:manualLayout>
                  <c:x val="-0.18340950119236837"/>
                  <c:y val="4.8237214669278822E-3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ln w="0">
                        <a:noFill/>
                      </a:ln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15296"/>
                        <a:gd name="adj2" fmla="val 6192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C854-442C-A358-1B4725989BEE}"/>
                </c:ext>
              </c:extLst>
            </c:dLbl>
            <c:dLbl>
              <c:idx val="4"/>
              <c:layout>
                <c:manualLayout>
                  <c:x val="-0.17977266407590525"/>
                  <c:y val="-6.0424996278605772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ln w="0">
                        <a:noFill/>
                      </a:ln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16192"/>
                        <a:gd name="adj2" fmla="val 86735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C854-442C-A358-1B4725989BE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ln w="0">
                      <a:noFill/>
                    </a:ln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'SORU 1'!$C$8:$C$12</c:f>
              <c:strCache>
                <c:ptCount val="5"/>
                <c:pt idx="0">
                  <c:v>Côte de Blaye</c:v>
                </c:pt>
                <c:pt idx="1">
                  <c:v>Thüringer Rostbratwurst </c:v>
                </c:pt>
                <c:pt idx="2">
                  <c:v>Raclette Courdavault</c:v>
                </c:pt>
                <c:pt idx="3">
                  <c:v>Tarte au sucre</c:v>
                </c:pt>
                <c:pt idx="4">
                  <c:v>Camembert Pierrot</c:v>
                </c:pt>
              </c:strCache>
            </c:strRef>
          </c:cat>
          <c:val>
            <c:numRef>
              <c:f>'SORU 1'!$J$8:$J$12</c:f>
              <c:numCache>
                <c:formatCode>"€"#,##0,"k"</c:formatCode>
                <c:ptCount val="5"/>
                <c:pt idx="0">
                  <c:v>141396.74</c:v>
                </c:pt>
                <c:pt idx="1">
                  <c:v>80368.67</c:v>
                </c:pt>
                <c:pt idx="2">
                  <c:v>71155.7</c:v>
                </c:pt>
                <c:pt idx="3">
                  <c:v>47234.97</c:v>
                </c:pt>
                <c:pt idx="4">
                  <c:v>46825.48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854-442C-A358-1B4725989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En Yüksek Gelir </a:t>
            </a:r>
            <a:r>
              <a:rPr lang="tr-TR" sz="1800" b="1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Getiren</a:t>
            </a:r>
            <a:r>
              <a:rPr lang="en-US" sz="1800" b="1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5 </a:t>
            </a:r>
            <a:r>
              <a:rPr lang="tr-TR" sz="1800" b="1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Ürün (Toplam € 386K) </a:t>
            </a:r>
            <a:endParaRPr lang="en-GB" sz="140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'SORU 1'!$J$7</c:f>
              <c:strCache>
                <c:ptCount val="1"/>
                <c:pt idx="0">
                  <c:v>Toplam_Gelir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'SORU 1'!$C$8:$C$12</c:f>
              <c:strCache>
                <c:ptCount val="5"/>
                <c:pt idx="0">
                  <c:v>Côte de Blaye</c:v>
                </c:pt>
                <c:pt idx="1">
                  <c:v>Thüringer Rostbratwurst </c:v>
                </c:pt>
                <c:pt idx="2">
                  <c:v>Raclette Courdavault</c:v>
                </c:pt>
                <c:pt idx="3">
                  <c:v>Tarte au sucre</c:v>
                </c:pt>
                <c:pt idx="4">
                  <c:v>Camembert Pierrot</c:v>
                </c:pt>
              </c:strCache>
            </c:strRef>
          </c:cat>
          <c:val>
            <c:numRef>
              <c:f>'SORU 1'!$J$8:$J$12</c:f>
              <c:numCache>
                <c:formatCode>"€"#,##0,"k"</c:formatCode>
                <c:ptCount val="5"/>
                <c:pt idx="0">
                  <c:v>141396.74</c:v>
                </c:pt>
                <c:pt idx="1">
                  <c:v>80368.67</c:v>
                </c:pt>
                <c:pt idx="2">
                  <c:v>71155.7</c:v>
                </c:pt>
                <c:pt idx="3">
                  <c:v>47234.97</c:v>
                </c:pt>
                <c:pt idx="4">
                  <c:v>46825.48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B-4887-8C9C-EEF7F1A75469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</c:dLbls>
        <c:gapWidth val="100"/>
        <c:axId val="1085241664"/>
        <c:axId val="1085236864"/>
      </c:barChart>
      <c:catAx>
        <c:axId val="1085241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36864"/>
        <c:crosses val="autoZero"/>
        <c:auto val="1"/>
        <c:lblAlgn val="ctr"/>
        <c:lblOffset val="100"/>
        <c:noMultiLvlLbl val="0"/>
      </c:catAx>
      <c:valAx>
        <c:axId val="10852368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,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4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8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 Yüksek Gelir Getiren 5 Ürün 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'SORU 1'!$Z$23</c:f>
              <c:strCache>
                <c:ptCount val="1"/>
                <c:pt idx="0">
                  <c:v>Toplam_Gelir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3C5F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44-43ED-B20C-052652F4FD31}"/>
              </c:ext>
            </c:extLst>
          </c:dPt>
          <c:dPt>
            <c:idx val="1"/>
            <c:invertIfNegative val="0"/>
            <c:bubble3D val="0"/>
            <c:spPr>
              <a:solidFill>
                <a:srgbClr val="3B82F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944-43ED-B20C-052652F4FD31}"/>
              </c:ext>
            </c:extLst>
          </c:dPt>
          <c:dPt>
            <c:idx val="2"/>
            <c:invertIfNegative val="0"/>
            <c:bubble3D val="0"/>
            <c:spPr>
              <a:solidFill>
                <a:srgbClr val="1D4ED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44-43ED-B20C-052652F4FD31}"/>
              </c:ext>
            </c:extLst>
          </c:dPt>
          <c:dPt>
            <c:idx val="3"/>
            <c:invertIfNegative val="0"/>
            <c:bubble3D val="0"/>
            <c:spPr>
              <a:solidFill>
                <a:srgbClr val="0B3D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44-43ED-B20C-052652F4FD31}"/>
              </c:ext>
            </c:extLst>
          </c:dPt>
          <c:dPt>
            <c:idx val="4"/>
            <c:invertIfNegative val="0"/>
            <c:bubble3D val="0"/>
            <c:spPr>
              <a:solidFill>
                <a:srgbClr val="1233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44-43ED-B20C-052652F4FD31}"/>
              </c:ext>
            </c:extLst>
          </c:dPt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'SORU 1'!$Y$24:$Y$28</c:f>
              <c:strCache>
                <c:ptCount val="5"/>
                <c:pt idx="0">
                  <c:v>Camembert Pierrot</c:v>
                </c:pt>
                <c:pt idx="1">
                  <c:v>Tarte au sucre</c:v>
                </c:pt>
                <c:pt idx="2">
                  <c:v>Raclette Courdavault</c:v>
                </c:pt>
                <c:pt idx="3">
                  <c:v>Thüringer Rostbratwurst </c:v>
                </c:pt>
                <c:pt idx="4">
                  <c:v>Côte de Blaye</c:v>
                </c:pt>
              </c:strCache>
            </c:strRef>
          </c:cat>
          <c:val>
            <c:numRef>
              <c:f>'SORU 1'!$Z$24:$Z$28</c:f>
              <c:numCache>
                <c:formatCode>"€"#,##0,"k"</c:formatCode>
                <c:ptCount val="5"/>
                <c:pt idx="0">
                  <c:v>46825.48</c:v>
                </c:pt>
                <c:pt idx="1">
                  <c:v>47234.97</c:v>
                </c:pt>
                <c:pt idx="2">
                  <c:v>71155.7</c:v>
                </c:pt>
                <c:pt idx="3">
                  <c:v>80368.67</c:v>
                </c:pt>
                <c:pt idx="4">
                  <c:v>141396.74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4-43ED-B20C-052652F4FD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85137984"/>
        <c:axId val="1085148064"/>
      </c:barChart>
      <c:catAx>
        <c:axId val="1085137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85148064"/>
        <c:crosses val="autoZero"/>
        <c:auto val="1"/>
        <c:lblAlgn val="ctr"/>
        <c:lblOffset val="100"/>
        <c:noMultiLvlLbl val="0"/>
      </c:catAx>
      <c:valAx>
        <c:axId val="1085148064"/>
        <c:scaling>
          <c:orientation val="minMax"/>
          <c:max val="150000"/>
          <c:min val="0"/>
        </c:scaling>
        <c:delete val="1"/>
        <c:axPos val="b"/>
        <c:numFmt formatCode="&quot;€&quot;#,##0,&quot;k&quot;" sourceLinked="1"/>
        <c:majorTickMark val="out"/>
        <c:minorTickMark val="none"/>
        <c:tickLblPos val="nextTo"/>
        <c:crossAx val="108513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83747922002212"/>
          <c:y val="0.11861298267141679"/>
          <c:w val="0.76367357097040445"/>
          <c:h val="0.83087993527910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'SORU 1'!$Y$23</c:f>
              <c:strCache>
                <c:ptCount val="1"/>
                <c:pt idx="0">
                  <c:v>Ürün_Adi</c:v>
                </c:pt>
              </c:strCache>
            </c:strRef>
          </c:tx>
          <c:spPr>
            <a:solidFill>
              <a:srgbClr val="3B82F6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3C5FD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CE-4CFD-A493-64BD36D2C2FC}"/>
              </c:ext>
            </c:extLst>
          </c:dPt>
          <c:dPt>
            <c:idx val="2"/>
            <c:invertIfNegative val="0"/>
            <c:bubble3D val="0"/>
            <c:spPr>
              <a:solidFill>
                <a:srgbClr val="1D4ED8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CE-4CFD-A493-64BD36D2C2FC}"/>
              </c:ext>
            </c:extLst>
          </c:dPt>
          <c:dPt>
            <c:idx val="3"/>
            <c:invertIfNegative val="0"/>
            <c:bubble3D val="0"/>
            <c:spPr>
              <a:solidFill>
                <a:srgbClr val="0B3D91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CE-4CFD-A493-64BD36D2C2FC}"/>
              </c:ext>
            </c:extLst>
          </c:dPt>
          <c:dPt>
            <c:idx val="4"/>
            <c:invertIfNegative val="0"/>
            <c:bubble3D val="0"/>
            <c:spPr>
              <a:solidFill>
                <a:srgbClr val="25436C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BCE-4CFD-A493-64BD36D2C2FC}"/>
              </c:ext>
            </c:extLst>
          </c:dPt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'SORU 1'!$Y$24:$Y$28</c:f>
              <c:strCache>
                <c:ptCount val="5"/>
                <c:pt idx="0">
                  <c:v>Camembert Pierrot</c:v>
                </c:pt>
                <c:pt idx="1">
                  <c:v>Tarte au sucre</c:v>
                </c:pt>
                <c:pt idx="2">
                  <c:v>Raclette Courdavault</c:v>
                </c:pt>
                <c:pt idx="3">
                  <c:v>Thüringer Rostbratwurst </c:v>
                </c:pt>
                <c:pt idx="4">
                  <c:v>Côte de Blaye</c:v>
                </c:pt>
              </c:strCache>
            </c:strRef>
          </c:cat>
          <c:val>
            <c:numRef>
              <c:f>'SORU 1'!$Z$24:$Z$28</c:f>
              <c:numCache>
                <c:formatCode>"€"#,##0,"k"</c:formatCode>
                <c:ptCount val="5"/>
                <c:pt idx="0">
                  <c:v>46825.48</c:v>
                </c:pt>
                <c:pt idx="1">
                  <c:v>47234.97</c:v>
                </c:pt>
                <c:pt idx="2">
                  <c:v>71155.7</c:v>
                </c:pt>
                <c:pt idx="3">
                  <c:v>80368.67</c:v>
                </c:pt>
                <c:pt idx="4">
                  <c:v>141396.74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CE-4CFD-A493-64BD36D2C2F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9966079"/>
        <c:axId val="1259965599"/>
      </c:barChart>
      <c:catAx>
        <c:axId val="12599660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9965599"/>
        <c:crosses val="autoZero"/>
        <c:auto val="1"/>
        <c:lblAlgn val="ctr"/>
        <c:lblOffset val="100"/>
        <c:noMultiLvlLbl val="0"/>
      </c:catAx>
      <c:valAx>
        <c:axId val="1259965599"/>
        <c:scaling>
          <c:orientation val="minMax"/>
          <c:max val="150000"/>
          <c:min val="0"/>
        </c:scaling>
        <c:delete val="0"/>
        <c:axPos val="b"/>
        <c:numFmt formatCode="&quot;€&quot;#,##0,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96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24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Çalışan</a:t>
            </a:r>
            <a:r>
              <a:rPr lang="tr-TR" sz="24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ların 1997 - 1998 Yılları Arası Satış </a:t>
            </a:r>
            <a:r>
              <a:rPr lang="en-US" sz="24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Değişim </a:t>
            </a:r>
            <a:r>
              <a:rPr lang="tr-TR" sz="24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</a:t>
            </a:r>
            <a:r>
              <a:rPr lang="en-US" sz="24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ran</a:t>
            </a:r>
            <a:r>
              <a:rPr lang="tr-TR" sz="24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ları</a:t>
            </a:r>
            <a:r>
              <a:rPr lang="tr-TR" sz="24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'SORU 2'!$H$37</c:f>
              <c:strCache>
                <c:ptCount val="1"/>
                <c:pt idx="0">
                  <c:v>Değişim oranı %</c:v>
                </c:pt>
              </c:strCache>
            </c:strRef>
          </c:tx>
          <c:spPr>
            <a:solidFill>
              <a:srgbClr val="3B82F6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3C5FD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B6-40A4-A36B-64BF6EFEF5EA}"/>
              </c:ext>
            </c:extLst>
          </c:dPt>
          <c:dPt>
            <c:idx val="2"/>
            <c:invertIfNegative val="0"/>
            <c:bubble3D val="0"/>
            <c:spPr>
              <a:solidFill>
                <a:srgbClr val="1D4ED8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B6-40A4-A36B-64BF6EFEF5EA}"/>
              </c:ext>
            </c:extLst>
          </c:dPt>
          <c:dPt>
            <c:idx val="3"/>
            <c:invertIfNegative val="0"/>
            <c:bubble3D val="0"/>
            <c:spPr>
              <a:solidFill>
                <a:srgbClr val="0B3D91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0B6-40A4-A36B-64BF6EFEF5EA}"/>
              </c:ext>
            </c:extLst>
          </c:dPt>
          <c:dPt>
            <c:idx val="4"/>
            <c:invertIfNegative val="0"/>
            <c:bubble3D val="0"/>
            <c:spPr>
              <a:solidFill>
                <a:srgbClr val="25436C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B8-4AB1-B71D-2F24A73EAD15}"/>
              </c:ext>
            </c:extLst>
          </c:dPt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'SORU 2'!$D$63:$D$67</c:f>
              <c:strCache>
                <c:ptCount val="5"/>
                <c:pt idx="0">
                  <c:v>Margaret Peacock</c:v>
                </c:pt>
                <c:pt idx="1">
                  <c:v>Nancy Davolio</c:v>
                </c:pt>
                <c:pt idx="2">
                  <c:v>Janet Leverling</c:v>
                </c:pt>
                <c:pt idx="3">
                  <c:v>Robert King</c:v>
                </c:pt>
                <c:pt idx="4">
                  <c:v>Andrew Fuller</c:v>
                </c:pt>
              </c:strCache>
            </c:strRef>
          </c:cat>
          <c:val>
            <c:numRef>
              <c:f>'SORU 2'!$K$63:$K$67</c:f>
              <c:numCache>
                <c:formatCode>0%</c:formatCode>
                <c:ptCount val="5"/>
                <c:pt idx="0">
                  <c:v>8.6999999999999994E-3</c:v>
                </c:pt>
                <c:pt idx="1">
                  <c:v>0.62819999999999998</c:v>
                </c:pt>
                <c:pt idx="2">
                  <c:v>0.70099999999999996</c:v>
                </c:pt>
                <c:pt idx="3">
                  <c:v>0.93940000000000001</c:v>
                </c:pt>
                <c:pt idx="4">
                  <c:v>1.5326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8-4AB1-B71D-2F24A73EAD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9966079"/>
        <c:axId val="1259965599"/>
      </c:barChart>
      <c:catAx>
        <c:axId val="125996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9965599"/>
        <c:crosses val="autoZero"/>
        <c:auto val="1"/>
        <c:lblAlgn val="ctr"/>
        <c:lblOffset val="100"/>
        <c:noMultiLvlLbl val="0"/>
      </c:catAx>
      <c:valAx>
        <c:axId val="1259965599"/>
        <c:scaling>
          <c:orientation val="minMax"/>
          <c:max val="1.8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25996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tr-TR" sz="1800" b="1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Çalışanların 1997 - 1998 Yılları Toplam Satış Miktarları ve 1999 Senaryosu </a:t>
            </a:r>
            <a:endParaRPr lang="en-US" sz="1800" b="1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3049211125213766E-2"/>
          <c:y val="9.1852414180126268E-2"/>
          <c:w val="0.97390157774957242"/>
          <c:h val="0.772564651116670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'SORU 2'!$J$4</c:f>
              <c:strCache>
                <c:ptCount val="1"/>
                <c:pt idx="0">
                  <c:v>1997 Toplam Satış</c:v>
                </c:pt>
              </c:strCache>
            </c:strRef>
          </c:tx>
          <c:spPr>
            <a:solidFill>
              <a:srgbClr val="93C5FD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'SORU 2'!$I$6:$I$10</c:f>
              <c:strCache>
                <c:ptCount val="5"/>
                <c:pt idx="0">
                  <c:v>Andrew Fuller</c:v>
                </c:pt>
                <c:pt idx="1">
                  <c:v>Janet Leverling</c:v>
                </c:pt>
                <c:pt idx="2">
                  <c:v>Nancy Davolio</c:v>
                </c:pt>
                <c:pt idx="3">
                  <c:v>Robert King</c:v>
                </c:pt>
                <c:pt idx="4">
                  <c:v>Margaret Peacock</c:v>
                </c:pt>
              </c:strCache>
            </c:strRef>
          </c:cat>
          <c:val>
            <c:numRef>
              <c:f>'SORU 2'!$J$6:$J$10</c:f>
              <c:numCache>
                <c:formatCode>"€"#,##0,"k"</c:formatCode>
                <c:ptCount val="5"/>
                <c:pt idx="0">
                  <c:v>70444.14</c:v>
                </c:pt>
                <c:pt idx="1">
                  <c:v>108026.16</c:v>
                </c:pt>
                <c:pt idx="2">
                  <c:v>93148.08</c:v>
                </c:pt>
                <c:pt idx="3">
                  <c:v>60471.199999999997</c:v>
                </c:pt>
                <c:pt idx="4">
                  <c:v>128809.79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6-40EB-A9D5-0C8D0974451A}"/>
            </c:ext>
          </c:extLst>
        </c:ser>
        <c:ser>
          <c:idx val="3"/>
          <c:order val="2"/>
          <c:tx>
            <c:strRef>
              <c:f>'SORU 2'!$L$4</c:f>
              <c:strCache>
                <c:ptCount val="1"/>
                <c:pt idx="0">
                  <c:v>1998 Toplam Satış</c:v>
                </c:pt>
              </c:strCache>
            </c:strRef>
          </c:tx>
          <c:spPr>
            <a:solidFill>
              <a:srgbClr val="1D4ED8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'SORU 2'!$L$6:$L$10</c:f>
              <c:numCache>
                <c:formatCode>"€"#,##0,"k"</c:formatCode>
                <c:ptCount val="5"/>
                <c:pt idx="0">
                  <c:v>178407.74400000001</c:v>
                </c:pt>
                <c:pt idx="1">
                  <c:v>183750.55199999997</c:v>
                </c:pt>
                <c:pt idx="2">
                  <c:v>151668.024</c:v>
                </c:pt>
                <c:pt idx="3">
                  <c:v>117275.71199999998</c:v>
                </c:pt>
                <c:pt idx="4">
                  <c:v>129926.25599999999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5D-4B8A-87C2-20EF6786FAF9}"/>
            </c:ext>
          </c:extLst>
        </c:ser>
        <c:ser>
          <c:idx val="2"/>
          <c:order val="3"/>
          <c:tx>
            <c:strRef>
              <c:f>'SORU 2'!$N$4</c:f>
              <c:strCache>
                <c:ptCount val="1"/>
                <c:pt idx="0">
                  <c:v>1999 Senaryosu</c:v>
                </c:pt>
              </c:strCache>
            </c:strRef>
          </c:tx>
          <c:spPr>
            <a:solidFill>
              <a:srgbClr val="12335F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'SORU 2'!$N$6:$N$10</c:f>
              <c:numCache>
                <c:formatCode>"€"#,##0,"k"</c:formatCode>
                <c:ptCount val="5"/>
                <c:pt idx="0">
                  <c:v>451837.76988645951</c:v>
                </c:pt>
                <c:pt idx="1">
                  <c:v>312556.37856890116</c:v>
                </c:pt>
                <c:pt idx="2">
                  <c:v>246952.91093562613</c:v>
                </c:pt>
                <c:pt idx="3">
                  <c:v>227440.37864482499</c:v>
                </c:pt>
                <c:pt idx="4">
                  <c:v>131052.3990309862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5C-40A6-B4B7-75936EE88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2139093279"/>
        <c:axId val="213909375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'SORU 2'!$K$5</c15:sqref>
                        </c15:formulaRef>
                      </c:ext>
                    </c:extLst>
                    <c:strCache>
                      <c:ptCount val="1"/>
                      <c:pt idx="0">
                        <c:v>5 Ay Toplam Satış 1998</c:v>
                      </c:pt>
                    </c:strCache>
                  </c:strRef>
                </c:tx>
                <c:spPr>
                  <a:solidFill>
                    <a:srgbClr val="1D4ED8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chemeClr val="tx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'SORU 2'!$I$6:$I$10</c15:sqref>
                        </c15:formulaRef>
                      </c:ext>
                    </c:extLst>
                    <c:strCache>
                      <c:ptCount val="5"/>
                      <c:pt idx="0">
                        <c:v>Andrew Fuller</c:v>
                      </c:pt>
                      <c:pt idx="1">
                        <c:v>Janet Leverling</c:v>
                      </c:pt>
                      <c:pt idx="2">
                        <c:v>Nancy Davolio</c:v>
                      </c:pt>
                      <c:pt idx="3">
                        <c:v>Robert King</c:v>
                      </c:pt>
                      <c:pt idx="4">
                        <c:v>Margaret Peacock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'SORU 2'!$K$6:$K$10</c15:sqref>
                        </c15:formulaRef>
                      </c:ext>
                    </c:extLst>
                    <c:numCache>
                      <c:formatCode>"€"#,##0,"k"</c:formatCode>
                      <c:ptCount val="5"/>
                      <c:pt idx="0">
                        <c:v>74336.56</c:v>
                      </c:pt>
                      <c:pt idx="1">
                        <c:v>76562.73</c:v>
                      </c:pt>
                      <c:pt idx="2">
                        <c:v>63195.01</c:v>
                      </c:pt>
                      <c:pt idx="3">
                        <c:v>48864.88</c:v>
                      </c:pt>
                      <c:pt idx="4">
                        <c:v>54135.94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D26-40EB-A9D5-0C8D0974451A}"/>
                  </c:ext>
                </c:extLst>
              </c15:ser>
            </c15:filteredBarSeries>
          </c:ext>
        </c:extLst>
      </c:barChart>
      <c:catAx>
        <c:axId val="213909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39093759"/>
        <c:crosses val="autoZero"/>
        <c:auto val="1"/>
        <c:lblAlgn val="ctr"/>
        <c:lblOffset val="100"/>
        <c:noMultiLvlLbl val="0"/>
      </c:catAx>
      <c:valAx>
        <c:axId val="2139093759"/>
        <c:scaling>
          <c:orientation val="minMax"/>
        </c:scaling>
        <c:delete val="1"/>
        <c:axPos val="l"/>
        <c:numFmt formatCode="&quot;€&quot;#,##0,&quot;k&quot;" sourceLinked="1"/>
        <c:majorTickMark val="none"/>
        <c:minorTickMark val="none"/>
        <c:tickLblPos val="nextTo"/>
        <c:crossAx val="213909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366864606167896"/>
          <c:y val="0.92065692184148373"/>
          <c:w val="0.43503529171759003"/>
          <c:h val="4.32340209869678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'SORU 2'!$Y$5</c:f>
              <c:strCache>
                <c:ptCount val="1"/>
                <c:pt idx="0">
                  <c:v>Margaret Peacock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'SORU 2'!$Z$4:$AA$4</c:f>
              <c:numCache>
                <c:formatCode>General</c:formatCode>
                <c:ptCount val="2"/>
                <c:pt idx="0">
                  <c:v>1997</c:v>
                </c:pt>
                <c:pt idx="1">
                  <c:v>1998</c:v>
                </c:pt>
              </c:numCache>
            </c:numRef>
          </c:cat>
          <c:val>
            <c:numRef>
              <c:f>'SORU 2'!$Z$5:$AA$5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6F-425E-A4DA-B74C804C1039}"/>
            </c:ext>
          </c:extLst>
        </c:ser>
        <c:ser>
          <c:idx val="1"/>
          <c:order val="1"/>
          <c:tx>
            <c:strRef>
              <c:f>'SORU 2'!$Y$6</c:f>
              <c:strCache>
                <c:ptCount val="1"/>
                <c:pt idx="0">
                  <c:v>Janet Leverling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'SORU 2'!$Z$4:$AA$4</c:f>
              <c:numCache>
                <c:formatCode>General</c:formatCode>
                <c:ptCount val="2"/>
                <c:pt idx="0">
                  <c:v>1997</c:v>
                </c:pt>
                <c:pt idx="1">
                  <c:v>1998</c:v>
                </c:pt>
              </c:numCache>
            </c:numRef>
          </c:cat>
          <c:val>
            <c:numRef>
              <c:f>'SORU 2'!$Z$6:$AA$6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6F-425E-A4DA-B74C804C1039}"/>
            </c:ext>
          </c:extLst>
        </c:ser>
        <c:ser>
          <c:idx val="2"/>
          <c:order val="2"/>
          <c:tx>
            <c:strRef>
              <c:f>'SORU 2'!$Y$7</c:f>
              <c:strCache>
                <c:ptCount val="1"/>
                <c:pt idx="0">
                  <c:v>Nancy Davolio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'SORU 2'!$Z$4:$AA$4</c:f>
              <c:numCache>
                <c:formatCode>General</c:formatCode>
                <c:ptCount val="2"/>
                <c:pt idx="0">
                  <c:v>1997</c:v>
                </c:pt>
                <c:pt idx="1">
                  <c:v>1998</c:v>
                </c:pt>
              </c:numCache>
            </c:numRef>
          </c:cat>
          <c:val>
            <c:numRef>
              <c:f>'SORU 2'!$Z$7:$AA$7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6F-425E-A4DA-B74C804C1039}"/>
            </c:ext>
          </c:extLst>
        </c:ser>
        <c:ser>
          <c:idx val="3"/>
          <c:order val="3"/>
          <c:tx>
            <c:strRef>
              <c:f>'SORU 2'!$Y$8</c:f>
              <c:strCache>
                <c:ptCount val="1"/>
                <c:pt idx="0">
                  <c:v>Andrew Fuller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'SORU 2'!$Z$4:$AA$4</c:f>
              <c:numCache>
                <c:formatCode>General</c:formatCode>
                <c:ptCount val="2"/>
                <c:pt idx="0">
                  <c:v>1997</c:v>
                </c:pt>
                <c:pt idx="1">
                  <c:v>1998</c:v>
                </c:pt>
              </c:numCache>
            </c:numRef>
          </c:cat>
          <c:val>
            <c:numRef>
              <c:f>'SORU 2'!$Z$8:$AA$8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6F-425E-A4DA-B74C804C1039}"/>
            </c:ext>
          </c:extLst>
        </c:ser>
        <c:ser>
          <c:idx val="4"/>
          <c:order val="4"/>
          <c:tx>
            <c:strRef>
              <c:f>'SORU 2'!$Y$9</c:f>
              <c:strCache>
                <c:ptCount val="1"/>
                <c:pt idx="0">
                  <c:v>Robert King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'SORU 2'!$Z$4:$AA$4</c:f>
              <c:numCache>
                <c:formatCode>General</c:formatCode>
                <c:ptCount val="2"/>
                <c:pt idx="0">
                  <c:v>1997</c:v>
                </c:pt>
                <c:pt idx="1">
                  <c:v>1998</c:v>
                </c:pt>
              </c:numCache>
            </c:numRef>
          </c:cat>
          <c:val>
            <c:numRef>
              <c:f>'SORU 2'!$Z$9:$AA$9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6F-425E-A4DA-B74C804C1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526848"/>
        <c:axId val="530527808"/>
      </c:lineChart>
      <c:catAx>
        <c:axId val="53052684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27808"/>
        <c:crosses val="autoZero"/>
        <c:auto val="1"/>
        <c:lblAlgn val="ctr"/>
        <c:lblOffset val="100"/>
        <c:noMultiLvlLbl val="0"/>
      </c:catAx>
      <c:valAx>
        <c:axId val="530527808"/>
        <c:scaling>
          <c:orientation val="maxMin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268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8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Çalışanların 1997 - 1998 Yılları Arası Satış Değişim Oranları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085137984"/>
        <c:axId val="1085148064"/>
      </c:barChart>
      <c:catAx>
        <c:axId val="10851379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85148064"/>
        <c:crosses val="autoZero"/>
        <c:auto val="1"/>
        <c:lblAlgn val="ctr"/>
        <c:lblOffset val="100"/>
        <c:noMultiLvlLbl val="0"/>
      </c:catAx>
      <c:valAx>
        <c:axId val="1085148064"/>
        <c:scaling>
          <c:orientation val="minMax"/>
          <c:max val="1.6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0851379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8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1997 - 1998 Yıllarında En Çok Satış Yapan İlk 5 Çalışan</a:t>
            </a:r>
            <a:endParaRPr lang="en-US" sz="1800"/>
          </a:p>
        </c:rich>
      </c:tx>
      <c:layout>
        <c:manualLayout>
          <c:xMode val="edge"/>
          <c:yMode val="edge"/>
          <c:x val="0.1579023393175879"/>
          <c:y val="1.8573795737972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971863333306"/>
          <c:y val="9.2789376708125856E-2"/>
          <c:w val="0.83238625357828566"/>
          <c:h val="0.859449434251374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'SORU 2'!$I$62</c:f>
              <c:strCache>
                <c:ptCount val="1"/>
                <c:pt idx="0">
                  <c:v>Degisim_Orani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16-4132-AF08-EC88AE6A6534}"/>
              </c:ext>
            </c:extLst>
          </c:dPt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'SORU 2'!$D$63:$D$67</c15:sqref>
                  </c15:fullRef>
                </c:ext>
              </c:extLst>
              <c:f>'SORU 2'!$D$63</c:f>
              <c:strCache>
                <c:ptCount val="1"/>
                <c:pt idx="0">
                  <c:v>Margaret Peacock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'SORU 2'!$K$63:$K$67</c15:sqref>
                  </c15:fullRef>
                </c:ext>
              </c:extLst>
              <c:f>'SORU 2'!$K$63</c:f>
              <c:numCache>
                <c:formatCode>0%</c:formatCode>
                <c:ptCount val="1"/>
                <c:pt idx="0">
                  <c:v>8.6999999999999994E-3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'SORU 2'!$K$64</c15:sqref>
                  <c15:spPr xmlns:c15="http://schemas.microsoft.com/office/drawing/2012/chart">
                    <a:noFill/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'SORU 2'!$K$65</c15:sqref>
                  <c15:spPr xmlns:c15="http://schemas.microsoft.com/office/drawing/2012/chart">
                    <a:noFill/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'SORU 2'!$K$66</c15:sqref>
                  <c15:spPr xmlns:c15="http://schemas.microsoft.com/office/drawing/2012/chart">
                    <a:noFill/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'SORU 2'!$K$67</c15:sqref>
                  <c15:spPr xmlns:c15="http://schemas.microsoft.com/office/drawing/2012/chart">
                    <a:noFill/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8016-4132-AF08-EC88AE6A65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85137984"/>
        <c:axId val="1085148064"/>
      </c:barChart>
      <c:catAx>
        <c:axId val="10851379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85148064"/>
        <c:crosses val="autoZero"/>
        <c:auto val="1"/>
        <c:lblAlgn val="ctr"/>
        <c:lblOffset val="100"/>
        <c:noMultiLvlLbl val="0"/>
      </c:catAx>
      <c:valAx>
        <c:axId val="1085148064"/>
        <c:scaling>
          <c:orientation val="minMax"/>
          <c:max val="1.6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08513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En Yüksek Satış Geliri Sağlayan 5 Müşteri</a:t>
            </a:r>
            <a:r>
              <a:rPr lang="tr-TR" sz="1800" b="1" baseline="0"/>
              <a:t>  (Toplam €363K) 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'SORU 3'!$G$8</c:f>
              <c:strCache>
                <c:ptCount val="1"/>
                <c:pt idx="0">
                  <c:v>Monetary</c:v>
                </c:pt>
              </c:strCache>
            </c:strRef>
          </c:tx>
          <c:dPt>
            <c:idx val="0"/>
            <c:bubble3D val="0"/>
            <c:spPr>
              <a:solidFill>
                <a:srgbClr val="12335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096-4FC1-BB3F-04807FFDB340}"/>
              </c:ext>
            </c:extLst>
          </c:dPt>
          <c:dPt>
            <c:idx val="1"/>
            <c:bubble3D val="0"/>
            <c:spPr>
              <a:solidFill>
                <a:srgbClr val="0B3D9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096-4FC1-BB3F-04807FFDB340}"/>
              </c:ext>
            </c:extLst>
          </c:dPt>
          <c:dPt>
            <c:idx val="2"/>
            <c:bubble3D val="0"/>
            <c:spPr>
              <a:solidFill>
                <a:srgbClr val="1D4ED8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096-4FC1-BB3F-04807FFDB340}"/>
              </c:ext>
            </c:extLst>
          </c:dPt>
          <c:dPt>
            <c:idx val="3"/>
            <c:bubble3D val="0"/>
            <c:spPr>
              <a:solidFill>
                <a:srgbClr val="3B82F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6096-4FC1-BB3F-04807FFDB340}"/>
              </c:ext>
            </c:extLst>
          </c:dPt>
          <c:dPt>
            <c:idx val="4"/>
            <c:bubble3D val="0"/>
            <c:spPr>
              <a:solidFill>
                <a:srgbClr val="93C5FD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096-4FC1-BB3F-04807FFDB340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65867106623794"/>
                      <c:h val="6.182868822905212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096-4FC1-BB3F-04807FFDB340}"/>
                </c:ext>
              </c:extLst>
            </c:dLbl>
            <c:dLbl>
              <c:idx val="3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6096-4FC1-BB3F-04807FFDB340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096-4FC1-BB3F-04807FFDB34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'SORU 3'!$C$9:$C$13</c:f>
              <c:strCache>
                <c:ptCount val="5"/>
                <c:pt idx="0">
                  <c:v>QUICK-Stop</c:v>
                </c:pt>
                <c:pt idx="1">
                  <c:v>Save-a-lot Markets</c:v>
                </c:pt>
                <c:pt idx="2">
                  <c:v>Ernst Handel</c:v>
                </c:pt>
                <c:pt idx="3">
                  <c:v>Hungry Owl All-Night Grocers</c:v>
                </c:pt>
                <c:pt idx="4">
                  <c:v>Rattlesnake Canyon Grocery</c:v>
                </c:pt>
              </c:strCache>
            </c:strRef>
          </c:cat>
          <c:val>
            <c:numRef>
              <c:f>'SORU 3'!$G$9:$G$13</c:f>
              <c:numCache>
                <c:formatCode>"€"#,##0,"k"</c:formatCode>
                <c:ptCount val="5"/>
                <c:pt idx="0">
                  <c:v>98327.23</c:v>
                </c:pt>
                <c:pt idx="1">
                  <c:v>94023.679999999993</c:v>
                </c:pt>
                <c:pt idx="2">
                  <c:v>89306.91</c:v>
                </c:pt>
                <c:pt idx="3">
                  <c:v>40856.519999999997</c:v>
                </c:pt>
                <c:pt idx="4">
                  <c:v>40622.019999999997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6-4FC1-BB3F-04807FFDB340}"/>
            </c:ext>
          </c:extLst>
        </c:ser>
        <c:ser>
          <c:idx val="1"/>
          <c:order val="1"/>
          <c:tx>
            <c:strRef>
              <c:f>'SORU 3'!$F$8</c:f>
              <c:strCache>
                <c:ptCount val="1"/>
                <c:pt idx="0">
                  <c:v>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3BD-4E7C-AC79-D39D4254E0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3BD-4E7C-AC79-D39D4254E0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3BD-4E7C-AC79-D39D4254E0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3BD-4E7C-AC79-D39D4254E0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3BD-4E7C-AC79-D39D4254E0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'SORU 3'!$F$9:$F$13</c:f>
              <c:numCache>
                <c:formatCode>General</c:formatCode>
                <c:ptCount val="5"/>
                <c:pt idx="0">
                  <c:v>22</c:v>
                </c:pt>
                <c:pt idx="1">
                  <c:v>28</c:v>
                </c:pt>
                <c:pt idx="2">
                  <c:v>24</c:v>
                </c:pt>
                <c:pt idx="3">
                  <c:v>14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96-4FC1-BB3F-04807FFDB34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 Yüksek Satış Geliri Sağlayan 5 Müşteri</a:t>
            </a:r>
            <a:r>
              <a:rPr lang="tr-TR" sz="18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 (Toplam € 419K)</a:t>
            </a:r>
            <a:endParaRPr lang="en-US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523790245605133E-2"/>
          <c:y val="8.9030325635382865E-2"/>
          <c:w val="0.84111359040293332"/>
          <c:h val="0.82193934872923424"/>
        </c:manualLayout>
      </c:layout>
      <c:pieChart>
        <c:varyColors val="1"/>
        <c:ser>
          <c:idx val="0"/>
          <c:order val="0"/>
          <c:tx>
            <c:strRef>
              <c:f>'SORU 3'!$F$65</c:f>
              <c:strCache>
                <c:ptCount val="1"/>
                <c:pt idx="0">
                  <c:v>Monetary</c:v>
                </c:pt>
              </c:strCache>
            </c:strRef>
          </c:tx>
          <c:dPt>
            <c:idx val="0"/>
            <c:bubble3D val="0"/>
            <c:spPr>
              <a:solidFill>
                <a:srgbClr val="1233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4D-41AE-A913-CC5794D0D401}"/>
              </c:ext>
            </c:extLst>
          </c:dPt>
          <c:dPt>
            <c:idx val="1"/>
            <c:bubble3D val="0"/>
            <c:spPr>
              <a:solidFill>
                <a:srgbClr val="0B3D9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4D-41AE-A913-CC5794D0D401}"/>
              </c:ext>
            </c:extLst>
          </c:dPt>
          <c:dPt>
            <c:idx val="2"/>
            <c:bubble3D val="0"/>
            <c:spPr>
              <a:solidFill>
                <a:srgbClr val="1D4ED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4D-41AE-A913-CC5794D0D401}"/>
              </c:ext>
            </c:extLst>
          </c:dPt>
          <c:dPt>
            <c:idx val="3"/>
            <c:bubble3D val="0"/>
            <c:spPr>
              <a:solidFill>
                <a:srgbClr val="3B82F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4D-41AE-A913-CC5794D0D401}"/>
              </c:ext>
            </c:extLst>
          </c:dPt>
          <c:dPt>
            <c:idx val="4"/>
            <c:bubble3D val="0"/>
            <c:spPr>
              <a:solidFill>
                <a:srgbClr val="93C5F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4D-41AE-A913-CC5794D0D401}"/>
              </c:ext>
            </c:extLst>
          </c:dPt>
          <c:dLbls>
            <c:dLbl>
              <c:idx val="0"/>
              <c:layout>
                <c:manualLayout>
                  <c:x val="3.8147698849040686E-2"/>
                  <c:y val="-2.059071960700107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336449491974853"/>
                      <c:h val="8.23392545510909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C4D-41AE-A913-CC5794D0D401}"/>
                </c:ext>
              </c:extLst>
            </c:dLbl>
            <c:dLbl>
              <c:idx val="1"/>
              <c:layout>
                <c:manualLayout>
                  <c:x val="5.7225986785301282E-2"/>
                  <c:y val="6.2568592511332538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ln w="0">
                        <a:noFill/>
                      </a:ln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71113"/>
                        <a:gd name="adj2" fmla="val -290159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1457786086199387"/>
                      <c:h val="7.40627458986598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C4D-41AE-A913-CC5794D0D401}"/>
                </c:ext>
              </c:extLst>
            </c:dLbl>
            <c:dLbl>
              <c:idx val="2"/>
              <c:layout>
                <c:manualLayout>
                  <c:x val="-4.0357675833924675E-2"/>
                  <c:y val="7.945161764557993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693422707903469"/>
                      <c:h val="0.107393090937444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C4D-41AE-A913-CC5794D0D401}"/>
                </c:ext>
              </c:extLst>
            </c:dLbl>
            <c:dLbl>
              <c:idx val="3"/>
              <c:layout>
                <c:manualLayout>
                  <c:x val="-4.9895559458671204E-2"/>
                  <c:y val="8.543134570826499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724229605212776"/>
                      <c:h val="0.119352547062814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C4D-41AE-A913-CC5794D0D401}"/>
                </c:ext>
              </c:extLst>
            </c:dLbl>
            <c:dLbl>
              <c:idx val="4"/>
              <c:layout>
                <c:manualLayout>
                  <c:x val="-9.9783229138274296E-2"/>
                  <c:y val="7.235582200391821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C4D-41AE-A913-CC5794D0D40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ln w="0">
                      <a:noFill/>
                    </a:ln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'SORU 3'!$C$66:$C$70</c:f>
              <c:strCache>
                <c:ptCount val="5"/>
                <c:pt idx="0">
                  <c:v>QUICK-Stop</c:v>
                </c:pt>
                <c:pt idx="1">
                  <c:v>Ernst Handel</c:v>
                </c:pt>
                <c:pt idx="2">
                  <c:v>Save-a-lot Markets</c:v>
                </c:pt>
                <c:pt idx="3">
                  <c:v>Rattlesnake Canyon Grocery</c:v>
                </c:pt>
                <c:pt idx="4">
                  <c:v>Hungry Owl All-Night Grocers</c:v>
                </c:pt>
              </c:strCache>
            </c:strRef>
          </c:cat>
          <c:val>
            <c:numRef>
              <c:f>'SORU 3'!$F$66:$F$70</c:f>
              <c:numCache>
                <c:formatCode>"€"#,##0,"k"</c:formatCode>
                <c:ptCount val="5"/>
                <c:pt idx="0">
                  <c:v>110277.3</c:v>
                </c:pt>
                <c:pt idx="1">
                  <c:v>104874.98</c:v>
                </c:pt>
                <c:pt idx="2">
                  <c:v>104361.95</c:v>
                </c:pt>
                <c:pt idx="3">
                  <c:v>51097.8</c:v>
                </c:pt>
                <c:pt idx="4">
                  <c:v>49979.91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4D-41AE-A913-CC5794D0D40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GB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En Yüksek Satış Geliri Sağlayan 5 Müşteri</a:t>
            </a:r>
            <a:r>
              <a:rPr lang="tr-TR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nin</a:t>
            </a:r>
            <a:r>
              <a:rPr lang="en-GB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 Recency ve Frequency</a:t>
            </a:r>
            <a:r>
              <a:rPr lang="tr-TR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 Değerleri</a:t>
            </a:r>
            <a:endParaRPr lang="en-GB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GB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'SORU 3'!$W$7</c:f>
              <c:strCache>
                <c:ptCount val="1"/>
                <c:pt idx="0">
                  <c:v>Recency</c:v>
                </c:pt>
              </c:strCache>
            </c:strRef>
          </c:tx>
          <c:spPr>
            <a:solidFill>
              <a:srgbClr val="3B82F6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'SORU 3'!$V$8:$V$12</c:f>
              <c:strCache>
                <c:ptCount val="5"/>
                <c:pt idx="0">
                  <c:v>Save-a-lot Markets</c:v>
                </c:pt>
                <c:pt idx="1">
                  <c:v>Ernst Handel</c:v>
                </c:pt>
                <c:pt idx="2">
                  <c:v>QUICK-Stop</c:v>
                </c:pt>
                <c:pt idx="3">
                  <c:v>Hungry Owl All-Night Grocers</c:v>
                </c:pt>
                <c:pt idx="4">
                  <c:v>Rattlesnake Canyon Grocery</c:v>
                </c:pt>
              </c:strCache>
            </c:strRef>
          </c:cat>
          <c:val>
            <c:numRef>
              <c:f>'SORU 3'!$W$8:$W$12</c:f>
              <c:numCache>
                <c:formatCode>General</c:formatCode>
                <c:ptCount val="5"/>
                <c:pt idx="0">
                  <c:v>61</c:v>
                </c:pt>
                <c:pt idx="1">
                  <c:v>57</c:v>
                </c:pt>
                <c:pt idx="2">
                  <c:v>78</c:v>
                </c:pt>
                <c:pt idx="3">
                  <c:v>62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1-4A72-BFEB-7769270193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97802575"/>
        <c:axId val="697803055"/>
      </c:barChart>
      <c:lineChart>
        <c:grouping val="standard"/>
        <c:varyColors val="0"/>
        <c:ser>
          <c:idx val="1"/>
          <c:order val="1"/>
          <c:tx>
            <c:strRef>
              <c:f>'SORU 3'!$X$7</c:f>
              <c:strCache>
                <c:ptCount val="1"/>
                <c:pt idx="0">
                  <c:v>Frequency</c:v>
                </c:pt>
              </c:strCache>
            </c:strRef>
          </c:tx>
          <c:spPr>
            <a:ln w="12700" cap="rnd" cmpd="sng">
              <a:solidFill>
                <a:srgbClr val="0B3D91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1D4ED8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3339131128910623E-3"/>
                  <c:y val="-1.8320610687022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311-4A72-BFEB-77692701936E}"/>
                </c:ext>
              </c:extLst>
            </c:dLbl>
            <c:dLbl>
              <c:idx val="1"/>
              <c:layout>
                <c:manualLayout>
                  <c:x val="4.0017393386731874E-3"/>
                  <c:y val="-2.03562340966921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11-4A72-BFEB-77692701936E}"/>
                </c:ext>
              </c:extLst>
            </c:dLbl>
            <c:dLbl>
              <c:idx val="2"/>
              <c:layout>
                <c:manualLayout>
                  <c:x val="3.3542243032667216E-2"/>
                  <c:y val="-2.2391857506361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11-4A72-BFEB-77692701936E}"/>
                </c:ext>
              </c:extLst>
            </c:dLbl>
            <c:dLbl>
              <c:idx val="3"/>
              <c:layout>
                <c:manualLayout>
                  <c:x val="3.0092128232508085E-2"/>
                  <c:y val="-2.64631043256997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11-4A72-BFEB-77692701936E}"/>
                </c:ext>
              </c:extLst>
            </c:dLbl>
            <c:dLbl>
              <c:idx val="4"/>
              <c:layout>
                <c:manualLayout>
                  <c:x val="3.4306985217280511E-2"/>
                  <c:y val="-3.6641221374045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11-4A72-BFEB-7769270193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'SORU 3'!$V$8:$V$12</c:f>
              <c:strCache>
                <c:ptCount val="5"/>
                <c:pt idx="0">
                  <c:v>Save-a-lot Markets</c:v>
                </c:pt>
                <c:pt idx="1">
                  <c:v>Ernst Handel</c:v>
                </c:pt>
                <c:pt idx="2">
                  <c:v>QUICK-Stop</c:v>
                </c:pt>
                <c:pt idx="3">
                  <c:v>Hungry Owl All-Night Grocers</c:v>
                </c:pt>
                <c:pt idx="4">
                  <c:v>Rattlesnake Canyon Grocery</c:v>
                </c:pt>
              </c:strCache>
            </c:strRef>
          </c:cat>
          <c:val>
            <c:numRef>
              <c:f>'SORU 3'!$X$8:$X$12</c:f>
              <c:numCache>
                <c:formatCode>General</c:formatCode>
                <c:ptCount val="5"/>
                <c:pt idx="0">
                  <c:v>28</c:v>
                </c:pt>
                <c:pt idx="1">
                  <c:v>24</c:v>
                </c:pt>
                <c:pt idx="2">
                  <c:v>22</c:v>
                </c:pt>
                <c:pt idx="3">
                  <c:v>14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11-4A72-BFEB-7769270193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3200640"/>
        <c:axId val="1313205440"/>
      </c:lineChart>
      <c:catAx>
        <c:axId val="69780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803055"/>
        <c:crosses val="autoZero"/>
        <c:auto val="1"/>
        <c:lblAlgn val="ctr"/>
        <c:lblOffset val="100"/>
        <c:noMultiLvlLbl val="0"/>
      </c:catAx>
      <c:valAx>
        <c:axId val="69780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tr-TR" sz="18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Recency (Gün)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tr-TR" sz="1800" b="1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802575"/>
        <c:crosses val="autoZero"/>
        <c:crossBetween val="between"/>
      </c:valAx>
      <c:valAx>
        <c:axId val="13132054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tr-TR" sz="12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tr-TR" sz="1200" b="1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200640"/>
        <c:crosses val="max"/>
        <c:crossBetween val="between"/>
      </c:valAx>
      <c:catAx>
        <c:axId val="1313200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3205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'SORU 3'!$J$50</c:f>
              <c:strCache>
                <c:ptCount val="1"/>
                <c:pt idx="0">
                  <c:v>Tenure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'SORU 3'!$I$51:$I$55</c:f>
              <c:strCache>
                <c:ptCount val="5"/>
                <c:pt idx="0">
                  <c:v>SAVEA</c:v>
                </c:pt>
                <c:pt idx="1">
                  <c:v>HUNGO</c:v>
                </c:pt>
                <c:pt idx="2">
                  <c:v>QUICK</c:v>
                </c:pt>
                <c:pt idx="3">
                  <c:v>RATTC</c:v>
                </c:pt>
                <c:pt idx="4">
                  <c:v>ERNSH</c:v>
                </c:pt>
              </c:strCache>
            </c:strRef>
          </c:cat>
          <c:val>
            <c:numRef>
              <c:f>'SORU 3'!$J$51:$J$55</c:f>
              <c:numCache>
                <c:formatCode>General</c:formatCode>
                <c:ptCount val="5"/>
                <c:pt idx="0">
                  <c:v>601</c:v>
                </c:pt>
                <c:pt idx="1">
                  <c:v>634</c:v>
                </c:pt>
                <c:pt idx="2">
                  <c:v>665</c:v>
                </c:pt>
                <c:pt idx="3">
                  <c:v>679</c:v>
                </c:pt>
                <c:pt idx="4">
                  <c:v>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5-406D-9161-66C98CC76E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54573328"/>
        <c:axId val="1854577648"/>
      </c:barChart>
      <c:catAx>
        <c:axId val="185457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577648"/>
        <c:crosses val="autoZero"/>
        <c:auto val="1"/>
        <c:lblAlgn val="ctr"/>
        <c:lblOffset val="100"/>
        <c:noMultiLvlLbl val="0"/>
      </c:catAx>
      <c:valAx>
        <c:axId val="1854577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5457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'SORU 3'!$N$50</c:f>
              <c:strCache>
                <c:ptCount val="1"/>
                <c:pt idx="0">
                  <c:v>Basket_Size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'SORU 3'!$M$51:$M$55</c:f>
              <c:strCache>
                <c:ptCount val="5"/>
                <c:pt idx="0">
                  <c:v>HUNGO</c:v>
                </c:pt>
                <c:pt idx="1">
                  <c:v>RATTC</c:v>
                </c:pt>
                <c:pt idx="2">
                  <c:v>SAVEA</c:v>
                </c:pt>
                <c:pt idx="3">
                  <c:v>ERNSH</c:v>
                </c:pt>
                <c:pt idx="4">
                  <c:v>QUICK</c:v>
                </c:pt>
              </c:strCache>
            </c:strRef>
          </c:cat>
          <c:val>
            <c:numRef>
              <c:f>'SORU 3'!$N$51:$N$55</c:f>
              <c:numCache>
                <c:formatCode>_-[$€-2]\ * #,##0_-;\-[$€-2]\ * #,##0_-;_-[$€-2]\ * "-"??_-;_-@_-</c:formatCode>
                <c:ptCount val="5"/>
                <c:pt idx="0">
                  <c:v>2630.52</c:v>
                </c:pt>
                <c:pt idx="1">
                  <c:v>2931.89</c:v>
                </c:pt>
                <c:pt idx="2">
                  <c:v>3366.51</c:v>
                </c:pt>
                <c:pt idx="3">
                  <c:v>3495.83</c:v>
                </c:pt>
                <c:pt idx="4">
                  <c:v>3938.47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B-4272-82C7-96969D0714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56884383"/>
        <c:axId val="2056905503"/>
      </c:barChart>
      <c:catAx>
        <c:axId val="20568843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905503"/>
        <c:crosses val="autoZero"/>
        <c:auto val="1"/>
        <c:lblAlgn val="ctr"/>
        <c:lblOffset val="100"/>
        <c:noMultiLvlLbl val="0"/>
      </c:catAx>
      <c:valAx>
        <c:axId val="2056905503"/>
        <c:scaling>
          <c:orientation val="minMax"/>
        </c:scaling>
        <c:delete val="1"/>
        <c:axPos val="b"/>
        <c:numFmt formatCode="_-[$€-2]\ * #,##0_-;\-[$€-2]\ * #,##0_-;_-[$€-2]\ * &quot;-&quot;??_-;_-@_-" sourceLinked="1"/>
        <c:majorTickMark val="out"/>
        <c:minorTickMark val="none"/>
        <c:tickLblPos val="nextTo"/>
        <c:crossAx val="205688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 Yüksek Satış Geliri Sağlayan 5 Müşteri</a:t>
            </a:r>
            <a:r>
              <a:rPr lang="tr-TR" sz="18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 </a:t>
            </a:r>
            <a:endParaRPr lang="en-US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523790245605133E-2"/>
          <c:y val="8.9030325635382865E-2"/>
          <c:w val="0.84111359040293332"/>
          <c:h val="0.82193934872923424"/>
        </c:manualLayout>
      </c:layout>
      <c:doughnutChart>
        <c:varyColors val="1"/>
        <c:ser>
          <c:idx val="0"/>
          <c:order val="0"/>
          <c:tx>
            <c:strRef>
              <c:f>'SORU 3'!$F$65</c:f>
              <c:strCache>
                <c:ptCount val="1"/>
                <c:pt idx="0">
                  <c:v>Monetary</c:v>
                </c:pt>
              </c:strCache>
            </c:strRef>
          </c:tx>
          <c:dPt>
            <c:idx val="0"/>
            <c:bubble3D val="0"/>
            <c:spPr>
              <a:solidFill>
                <a:srgbClr val="1233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E9-49E5-BA9F-6026C84C969C}"/>
              </c:ext>
            </c:extLst>
          </c:dPt>
          <c:dPt>
            <c:idx val="1"/>
            <c:bubble3D val="0"/>
            <c:spPr>
              <a:solidFill>
                <a:srgbClr val="0B3D9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E9-49E5-BA9F-6026C84C969C}"/>
              </c:ext>
            </c:extLst>
          </c:dPt>
          <c:dPt>
            <c:idx val="2"/>
            <c:bubble3D val="0"/>
            <c:spPr>
              <a:solidFill>
                <a:srgbClr val="1D4ED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E9-49E5-BA9F-6026C84C969C}"/>
              </c:ext>
            </c:extLst>
          </c:dPt>
          <c:dPt>
            <c:idx val="3"/>
            <c:bubble3D val="0"/>
            <c:spPr>
              <a:solidFill>
                <a:srgbClr val="3B82F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E9-49E5-BA9F-6026C84C969C}"/>
              </c:ext>
            </c:extLst>
          </c:dPt>
          <c:dPt>
            <c:idx val="4"/>
            <c:bubble3D val="0"/>
            <c:spPr>
              <a:solidFill>
                <a:srgbClr val="93C5F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0E9-49E5-BA9F-6026C84C969C}"/>
              </c:ext>
            </c:extLst>
          </c:dPt>
          <c:dLbls>
            <c:dLbl>
              <c:idx val="0"/>
              <c:layout>
                <c:manualLayout>
                  <c:x val="0.14678868985757054"/>
                  <c:y val="-9.41911620247618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056494876124978"/>
                      <c:h val="7.50262922564781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0E9-49E5-BA9F-6026C84C969C}"/>
                </c:ext>
              </c:extLst>
            </c:dLbl>
            <c:dLbl>
              <c:idx val="1"/>
              <c:layout>
                <c:manualLayout>
                  <c:x val="0.16663166889203412"/>
                  <c:y val="0.14060104481426691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ln w="0">
                        <a:noFill/>
                      </a:ln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71113"/>
                        <a:gd name="adj2" fmla="val -290159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2026050703620179"/>
                      <c:h val="9.08598453914589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0E9-49E5-BA9F-6026C84C969C}"/>
                </c:ext>
              </c:extLst>
            </c:dLbl>
            <c:dLbl>
              <c:idx val="2"/>
              <c:layout>
                <c:manualLayout>
                  <c:x val="-0.18283932458771351"/>
                  <c:y val="0.1285418066464287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737960226407326"/>
                      <c:h val="9.636564349155195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0E9-49E5-BA9F-6026C84C969C}"/>
                </c:ext>
              </c:extLst>
            </c:dLbl>
            <c:dLbl>
              <c:idx val="3"/>
              <c:layout>
                <c:manualLayout>
                  <c:x val="-0.18340950119236837"/>
                  <c:y val="4.8237214669278822E-3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ln w="0">
                        <a:noFill/>
                      </a:ln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15296"/>
                        <a:gd name="adj2" fmla="val 6192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10E9-49E5-BA9F-6026C84C969C}"/>
                </c:ext>
              </c:extLst>
            </c:dLbl>
            <c:dLbl>
              <c:idx val="4"/>
              <c:layout>
                <c:manualLayout>
                  <c:x val="-0.17977266407590525"/>
                  <c:y val="-6.0424996278605772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ln w="0">
                        <a:noFill/>
                      </a:ln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16192"/>
                        <a:gd name="adj2" fmla="val 86735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10E9-49E5-BA9F-6026C84C969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ln w="0">
                      <a:noFill/>
                    </a:ln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'SORU 3'!$C$66:$C$70</c:f>
              <c:strCache>
                <c:ptCount val="5"/>
                <c:pt idx="0">
                  <c:v>QUICK-Stop</c:v>
                </c:pt>
                <c:pt idx="1">
                  <c:v>Ernst Handel</c:v>
                </c:pt>
                <c:pt idx="2">
                  <c:v>Save-a-lot Markets</c:v>
                </c:pt>
                <c:pt idx="3">
                  <c:v>Rattlesnake Canyon Grocery</c:v>
                </c:pt>
                <c:pt idx="4">
                  <c:v>Hungry Owl All-Night Grocers</c:v>
                </c:pt>
              </c:strCache>
            </c:strRef>
          </c:cat>
          <c:val>
            <c:numRef>
              <c:f>'SORU 3'!$F$66:$F$70</c:f>
              <c:numCache>
                <c:formatCode>"€"#,##0,"k"</c:formatCode>
                <c:ptCount val="5"/>
                <c:pt idx="0">
                  <c:v>110277.3</c:v>
                </c:pt>
                <c:pt idx="1">
                  <c:v>104874.98</c:v>
                </c:pt>
                <c:pt idx="2">
                  <c:v>104361.95</c:v>
                </c:pt>
                <c:pt idx="3">
                  <c:v>51097.8</c:v>
                </c:pt>
                <c:pt idx="4">
                  <c:v>49979.91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E9-49E5-BA9F-6026C84C9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 Yüksek Satış Geliri Sağlayan 5 Müşteri</a:t>
            </a:r>
            <a:r>
              <a:rPr lang="tr-TR" sz="18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 Recency Frequency ve Ortalama Sepet Miktarı Değerleri </a:t>
            </a:r>
            <a:endParaRPr lang="en-GB" sz="18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7.0139559356781025E-2"/>
          <c:y val="0.15549482990236455"/>
          <c:w val="0.90654024086558305"/>
          <c:h val="0.74673894978288435"/>
        </c:manualLayout>
      </c:layout>
      <c:bubbleChart>
        <c:varyColors val="0"/>
        <c:ser>
          <c:idx val="0"/>
          <c:order val="0"/>
          <c:spPr>
            <a:solidFill>
              <a:srgbClr val="0B3D91">
                <a:alpha val="85000"/>
              </a:srgb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13258516326088104"/>
                  <c:y val="-9.98912881650173E-2"/>
                </c:manualLayout>
              </c:layout>
              <c:tx>
                <c:rich>
                  <a:bodyPr/>
                  <a:lstStyle/>
                  <a:p>
                    <a:fld id="{76E06D48-FD39-4EF1-BC7F-DEDB7313CCEA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57269D7-2A70-4706-BE01-83470C848335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R, </a:t>
                    </a:r>
                    <a:fld id="{FBA9ED83-9C7C-4003-B691-1525A76D3BD6}" type="YVALUE">
                      <a:rPr lang="en-US" baseline="0"/>
                      <a:pPr/>
                      <a:t>[Y VALUE]</a:t>
                    </a:fld>
                    <a:r>
                      <a:rPr lang="en-US" baseline="0"/>
                      <a:t>F, </a:t>
                    </a:r>
                    <a:fld id="{070EE609-D033-4AB4-8B24-54C4A25334AD}" type="BUBBLESIZE">
                      <a:rPr lang="en-US" baseline="0"/>
                      <a:pPr/>
                      <a:t>[BUBBLE SIZE]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12D-4AA2-9B94-88B006006F1D}"/>
                </c:ext>
              </c:extLst>
            </c:dLbl>
            <c:dLbl>
              <c:idx val="1"/>
              <c:layout>
                <c:manualLayout>
                  <c:x val="-0.22606908271633383"/>
                  <c:y val="-8.1381436213494737E-2"/>
                </c:manualLayout>
              </c:layout>
              <c:tx>
                <c:rich>
                  <a:bodyPr/>
                  <a:lstStyle/>
                  <a:p>
                    <a:fld id="{3D2BC844-FC4A-4BAD-B73E-16A89DBE9C8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0FAFEB3-FFAE-46EB-8C8B-1C88EE7AACDB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R, </a:t>
                    </a:r>
                    <a:fld id="{18446FDA-EEFE-4BDF-8A44-88307A169598}" type="YVALUE">
                      <a:rPr lang="en-US" baseline="0"/>
                      <a:pPr/>
                      <a:t>[Y VALUE]</a:t>
                    </a:fld>
                    <a:r>
                      <a:rPr lang="en-US" baseline="0"/>
                      <a:t>F, </a:t>
                    </a:r>
                    <a:fld id="{438BD175-2920-4A61-B531-83497EFDF637}" type="BUBBLESIZE">
                      <a:rPr lang="en-US" baseline="0"/>
                      <a:pPr/>
                      <a:t>[BUBBLE SIZE]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12D-4AA2-9B94-88B006006F1D}"/>
                </c:ext>
              </c:extLst>
            </c:dLbl>
            <c:dLbl>
              <c:idx val="2"/>
              <c:layout>
                <c:manualLayout>
                  <c:x val="-0.16010222211689654"/>
                  <c:y val="-9.9730420867428698E-2"/>
                </c:manualLayout>
              </c:layout>
              <c:tx>
                <c:rich>
                  <a:bodyPr/>
                  <a:lstStyle/>
                  <a:p>
                    <a:fld id="{CEB05B09-9E42-4B64-ADA5-F9A08245A86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D8E1AAA-6547-4197-B86D-3742E70AB68D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R, </a:t>
                    </a:r>
                    <a:fld id="{5F4C6002-0423-46BD-82BF-48EBD7A379A7}" type="YVALUE">
                      <a:rPr lang="en-US" baseline="0"/>
                      <a:pPr/>
                      <a:t>[Y VALUE]</a:t>
                    </a:fld>
                    <a:r>
                      <a:rPr lang="en-US" baseline="0"/>
                      <a:t>F, </a:t>
                    </a:r>
                    <a:fld id="{D3A60507-1199-4A0A-A8CD-6BD21B9C4259}" type="BUBBLESIZE">
                      <a:rPr lang="en-US" baseline="0"/>
                      <a:pPr/>
                      <a:t>[BUBBLE SIZE]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12D-4AA2-9B94-88B006006F1D}"/>
                </c:ext>
              </c:extLst>
            </c:dLbl>
            <c:dLbl>
              <c:idx val="3"/>
              <c:layout>
                <c:manualLayout>
                  <c:x val="-0.17596310950711949"/>
                  <c:y val="-9.3983340913211075E-2"/>
                </c:manualLayout>
              </c:layout>
              <c:tx>
                <c:rich>
                  <a:bodyPr/>
                  <a:lstStyle/>
                  <a:p>
                    <a:fld id="{8F1A2FAA-5746-438A-861D-CE9EE345C238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09D9264-23AD-4812-86E9-92051B28222A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R, </a:t>
                    </a:r>
                    <a:fld id="{2D4EC960-0E2C-4FA6-A077-CB38763F39F5}" type="YVALUE">
                      <a:rPr lang="en-US" baseline="0"/>
                      <a:pPr/>
                      <a:t>[Y VALUE]</a:t>
                    </a:fld>
                    <a:r>
                      <a:rPr lang="en-US" baseline="0"/>
                      <a:t>F, </a:t>
                    </a:r>
                    <a:fld id="{51D1F102-CE06-4942-85E5-41AF601A58F5}" type="BUBBLESIZE">
                      <a:rPr lang="en-US" baseline="0"/>
                      <a:pPr/>
                      <a:t>[BUBBLE SIZE]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12D-4AA2-9B94-88B006006F1D}"/>
                </c:ext>
              </c:extLst>
            </c:dLbl>
            <c:dLbl>
              <c:idx val="4"/>
              <c:layout>
                <c:manualLayout>
                  <c:x val="-0.16320021950742108"/>
                  <c:y val="-0.12212701365924385"/>
                </c:manualLayout>
              </c:layout>
              <c:tx>
                <c:rich>
                  <a:bodyPr/>
                  <a:lstStyle/>
                  <a:p>
                    <a:fld id="{10F510D6-2378-43A9-84D6-3FE0214573B5}" type="CELLRANGE">
                      <a:rPr lang="en-US" sz="1000" baseline="0"/>
                      <a:pPr/>
                      <a:t>[CELLRANGE]</a:t>
                    </a:fld>
                    <a:r>
                      <a:rPr lang="en-US" sz="1000" baseline="0"/>
                      <a:t>, 32R, </a:t>
                    </a:r>
                    <a:fld id="{CE862D9E-3F9E-4557-9F66-B5FE8A194A69}" type="YVALUE">
                      <a:rPr lang="en-US" sz="1000" baseline="0"/>
                      <a:pPr/>
                      <a:t>[Y VALUE]</a:t>
                    </a:fld>
                    <a:r>
                      <a:rPr lang="en-US" sz="1000" baseline="0"/>
                      <a:t>F, </a:t>
                    </a:r>
                    <a:fld id="{C222D4AD-8E61-444F-85D5-65ACF59EBB08}" type="BUBBLESIZE">
                      <a:rPr lang="en-US" sz="1000" baseline="0"/>
                      <a:pPr/>
                      <a:t>[BUBBLE SIZE]</a:t>
                    </a:fld>
                    <a:endParaRPr lang="en-US" sz="1000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12D-4AA2-9B94-88B006006F1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'SORU 3'!$D$66:$D$70</c:f>
              <c:numCache>
                <c:formatCode>General</c:formatCode>
                <c:ptCount val="5"/>
                <c:pt idx="0">
                  <c:v>48</c:v>
                </c:pt>
                <c:pt idx="1">
                  <c:v>27</c:v>
                </c:pt>
                <c:pt idx="2">
                  <c:v>31</c:v>
                </c:pt>
                <c:pt idx="3">
                  <c:v>26</c:v>
                </c:pt>
                <c:pt idx="4">
                  <c:v>32</c:v>
                </c:pt>
              </c:numCache>
            </c:numRef>
          </c:xVal>
          <c:yVal>
            <c:numRef>
              <c:f>'SORU 3'!$E$66:$E$70</c:f>
              <c:numCache>
                <c:formatCode>General</c:formatCode>
                <c:ptCount val="5"/>
                <c:pt idx="0">
                  <c:v>28</c:v>
                </c:pt>
                <c:pt idx="1">
                  <c:v>30</c:v>
                </c:pt>
                <c:pt idx="2">
                  <c:v>31</c:v>
                </c:pt>
                <c:pt idx="3">
                  <c:v>18</c:v>
                </c:pt>
                <c:pt idx="4">
                  <c:v>19</c:v>
                </c:pt>
              </c:numCache>
            </c:numRef>
          </c:yVal>
          <c:bubbleSize>
            <c:numRef>
              <c:f>'SORU 3'!$G$66:$G$70</c:f>
              <c:numCache>
                <c:formatCode>_-[$€-2]\ * #,##0_-;\-[$€-2]\ * #,##0_-;_-[$€-2]\ * "-"??_-;_-@_-</c:formatCode>
                <c:ptCount val="5"/>
                <c:pt idx="0">
                  <c:v>3938.47</c:v>
                </c:pt>
                <c:pt idx="1">
                  <c:v>3495.83</c:v>
                </c:pt>
                <c:pt idx="2">
                  <c:v>3366.51</c:v>
                </c:pt>
                <c:pt idx="3">
                  <c:v>2838.77</c:v>
                </c:pt>
                <c:pt idx="4">
                  <c:v>2630.52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'SORU 3'!$B$66:$B$70</c15:f>
                <c15:dlblRangeCache>
                  <c:ptCount val="5"/>
                  <c:pt idx="0">
                    <c:v>QUICK</c:v>
                  </c:pt>
                  <c:pt idx="1">
                    <c:v>ERNSH</c:v>
                  </c:pt>
                  <c:pt idx="2">
                    <c:v>SAVEA</c:v>
                  </c:pt>
                  <c:pt idx="3">
                    <c:v>RATTC</c:v>
                  </c:pt>
                  <c:pt idx="4">
                    <c:v>HUNGO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12D-4AA2-9B94-88B006006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50"/>
        <c:showNegBubbles val="0"/>
        <c:axId val="1615514752"/>
        <c:axId val="1615515232"/>
      </c:bubbleChart>
      <c:valAx>
        <c:axId val="1615514752"/>
        <c:scaling>
          <c:orientation val="minMax"/>
          <c:max val="50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Recency (Gün, Düşük</a:t>
                </a:r>
                <a:r>
                  <a:rPr lang="tr-TR" sz="12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Değerler Daha İyi</a:t>
                </a:r>
                <a:r>
                  <a:rPr lang="tr-TR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en-GB" sz="12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635085635319894"/>
              <c:y val="0.94025354737342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515232"/>
        <c:crosses val="autoZero"/>
        <c:crossBetween val="midCat"/>
        <c:majorUnit val="5"/>
      </c:valAx>
      <c:valAx>
        <c:axId val="1615515232"/>
        <c:scaling>
          <c:orientation val="minMax"/>
          <c:max val="35"/>
          <c:min val="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 (Toplam Sipariş Sayısı)</a:t>
                </a:r>
                <a:endParaRPr lang="en-GB" sz="12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514752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D1EC6658-99F1-41A5-A809-0C16D0215BC5}">
          <cx:tx>
            <cx:txData>
              <cx:f>_xlchart.v1.1</cx:f>
              <cx:v>Value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668431</xdr:colOff>
      <xdr:row>21</xdr:row>
      <xdr:rowOff>142018</xdr:rowOff>
    </xdr:from>
    <xdr:to>
      <xdr:col>16</xdr:col>
      <xdr:colOff>371475</xdr:colOff>
      <xdr:row>49</xdr:row>
      <xdr:rowOff>74519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70B862-90E7-0F3F-E3E2-0AA3CF1FA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523874</xdr:colOff>
      <xdr:row>66</xdr:row>
      <xdr:rowOff>57150</xdr:rowOff>
    </xdr:from>
    <xdr:to>
      <xdr:col>38</xdr:col>
      <xdr:colOff>333374</xdr:colOff>
      <xdr:row>89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3219A43-369B-F7E0-BC23-CC541AD3CD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87149" y="12630150"/>
              <a:ext cx="8124825" cy="449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135591</xdr:colOff>
      <xdr:row>80</xdr:row>
      <xdr:rowOff>54909</xdr:rowOff>
    </xdr:from>
    <xdr:to>
      <xdr:col>17</xdr:col>
      <xdr:colOff>259416</xdr:colOff>
      <xdr:row>108</xdr:row>
      <xdr:rowOff>81803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EBE3C0B-447C-4DED-A399-9346CE223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1971676</xdr:colOff>
      <xdr:row>51</xdr:row>
      <xdr:rowOff>152400</xdr:rowOff>
    </xdr:from>
    <xdr:to>
      <xdr:col>21</xdr:col>
      <xdr:colOff>771525</xdr:colOff>
      <xdr:row>75</xdr:row>
      <xdr:rowOff>76201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596CEEC-675B-EE85-BF5C-6B8119E7A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862012</xdr:colOff>
      <xdr:row>11</xdr:row>
      <xdr:rowOff>100011</xdr:rowOff>
    </xdr:from>
    <xdr:to>
      <xdr:col>24</xdr:col>
      <xdr:colOff>9526</xdr:colOff>
      <xdr:row>36</xdr:row>
      <xdr:rowOff>123824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13713EB-FFE2-DB3B-68CA-0B92F87B8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533400</xdr:colOff>
      <xdr:row>20</xdr:row>
      <xdr:rowOff>38100</xdr:rowOff>
    </xdr:from>
    <xdr:to>
      <xdr:col>35</xdr:col>
      <xdr:colOff>1922807</xdr:colOff>
      <xdr:row>48</xdr:row>
      <xdr:rowOff>14286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55C15DE-BCAA-4EEE-A084-ABC236D14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0.41265</cdr:x>
      <cdr:y>0.35535</cdr:y>
    </cdr:from>
    <cdr:to>
      <cdr:x>0.59972</cdr:x>
      <cdr:y>0.59877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266BA9-A39E-A8B9-3CFC-78B2934DEEC1}"/>
            </a:ext>
          </a:extLst>
        </cdr:cNvPr>
        <cdr:cNvSpPr txBox="1"/>
      </cdr:nvSpPr>
      <cdr:spPr>
        <a:xfrm xmlns:a="http://schemas.openxmlformats.org/drawingml/2006/main">
          <a:off x="3571875" y="1905000"/>
          <a:ext cx="1619250" cy="13049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GB" sz="16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Toplam</a:t>
          </a:r>
          <a:endParaRPr lang="tr-TR" sz="160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pPr algn="ctr"/>
          <a:r>
            <a:rPr lang="en-GB" sz="16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 € </a:t>
          </a:r>
          <a:r>
            <a:rPr lang="tr-TR" sz="16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386</a:t>
          </a:r>
          <a:r>
            <a:rPr lang="en-GB" sz="16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K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488139</xdr:colOff>
      <xdr:row>28</xdr:row>
      <xdr:rowOff>178808</xdr:rowOff>
    </xdr:from>
    <xdr:to>
      <xdr:col>9</xdr:col>
      <xdr:colOff>1467971</xdr:colOff>
      <xdr:row>56</xdr:row>
      <xdr:rowOff>154994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B012A32-3EA6-176C-4B05-4683A99B2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190217</xdr:colOff>
      <xdr:row>28</xdr:row>
      <xdr:rowOff>72948</xdr:rowOff>
    </xdr:from>
    <xdr:to>
      <xdr:col>20</xdr:col>
      <xdr:colOff>266922</xdr:colOff>
      <xdr:row>57</xdr:row>
      <xdr:rowOff>175845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8ACC326-14C3-6710-94EC-68F6A5FF4A02}"/>
            </a:ext>
          </a:extLst>
        </xdr:cNvPr>
        <xdr:cNvGrpSpPr/>
      </xdr:nvGrpSpPr>
      <xdr:grpSpPr>
        <a:xfrm>
          <a:off x="11015099" y="5350919"/>
          <a:ext cx="10677470" cy="5627397"/>
          <a:chOff x="10601861" y="5358469"/>
          <a:chExt cx="10407992" cy="5458956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1D3189E-B7F7-5801-2F09-135FD54A2620}"/>
              </a:ext>
            </a:extLst>
          </xdr:cNvPr>
          <xdr:cNvGraphicFramePr/>
        </xdr:nvGraphicFramePr>
        <xdr:xfrm>
          <a:off x="10601861" y="5358469"/>
          <a:ext cx="10407992" cy="54589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D2733977-CFE2-09C1-4AB3-D67430EC65FC}"/>
              </a:ext>
            </a:extLst>
          </xdr:cNvPr>
          <xdr:cNvSpPr txBox="1"/>
        </xdr:nvSpPr>
        <xdr:spPr>
          <a:xfrm>
            <a:off x="10623603" y="10305677"/>
            <a:ext cx="3060513" cy="488057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800">
                <a:latin typeface="Times New Roman" panose="02020603050405020304" pitchFamily="18" charset="0"/>
                <a:cs typeface="Times New Roman" panose="02020603050405020304" pitchFamily="18" charset="0"/>
              </a:rPr>
              <a:t>1998 yıllık bazda = </a:t>
            </a:r>
            <a:r>
              <a:rPr lang="tr-TR" sz="800">
                <a:latin typeface="Times New Roman" panose="02020603050405020304" pitchFamily="18" charset="0"/>
                <a:cs typeface="Times New Roman" panose="02020603050405020304" pitchFamily="18" charset="0"/>
              </a:rPr>
              <a:t>Ocak-</a:t>
            </a:r>
            <a:r>
              <a:rPr lang="en-GB" sz="800">
                <a:latin typeface="Times New Roman" panose="02020603050405020304" pitchFamily="18" charset="0"/>
                <a:cs typeface="Times New Roman" panose="02020603050405020304" pitchFamily="18" charset="0"/>
              </a:rPr>
              <a:t>Mayıs × (12/5) olarak hesaplanmıştır</a:t>
            </a:r>
            <a:endParaRPr lang="tr-TR" sz="80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r>
              <a:rPr lang="tr-TR" sz="800">
                <a:latin typeface="Times New Roman" panose="02020603050405020304" pitchFamily="18" charset="0"/>
                <a:cs typeface="Times New Roman" panose="02020603050405020304" pitchFamily="18" charset="0"/>
              </a:rPr>
              <a:t>1999 senaryosu,</a:t>
            </a:r>
            <a:r>
              <a:rPr lang="tr-TR" sz="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97-98 arası artışın, 99 için de sabit kaldıgı varsayımı ile hesaplanmıştır</a:t>
            </a:r>
            <a:endParaRPr lang="en-GB" sz="8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26</xdr:col>
      <xdr:colOff>173935</xdr:colOff>
      <xdr:row>15</xdr:row>
      <xdr:rowOff>53007</xdr:rowOff>
    </xdr:from>
    <xdr:to>
      <xdr:col>32</xdr:col>
      <xdr:colOff>323023</xdr:colOff>
      <xdr:row>35</xdr:row>
      <xdr:rowOff>165650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2099E5-2754-9CD9-99AB-3C7390122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828675</xdr:colOff>
      <xdr:row>82</xdr:row>
      <xdr:rowOff>85725</xdr:rowOff>
    </xdr:from>
    <xdr:to>
      <xdr:col>13</xdr:col>
      <xdr:colOff>1561835</xdr:colOff>
      <xdr:row>107</xdr:row>
      <xdr:rowOff>109538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5A0058-DB2D-4A42-B21E-418DC9C63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838200</xdr:colOff>
      <xdr:row>69</xdr:row>
      <xdr:rowOff>52595</xdr:rowOff>
    </xdr:from>
    <xdr:to>
      <xdr:col>10</xdr:col>
      <xdr:colOff>798593</xdr:colOff>
      <xdr:row>94</xdr:row>
      <xdr:rowOff>116753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BB4C6E0A-8538-FC02-2768-222255F3F814}"/>
            </a:ext>
          </a:extLst>
        </xdr:cNvPr>
        <xdr:cNvGrpSpPr/>
      </xdr:nvGrpSpPr>
      <xdr:grpSpPr>
        <a:xfrm>
          <a:off x="4592171" y="13141066"/>
          <a:ext cx="7031304" cy="4826658"/>
          <a:chOff x="4603750" y="13114545"/>
          <a:chExt cx="7040643" cy="4826658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EA9D65C7-4A36-401F-BE92-401D50B189A6}"/>
              </a:ext>
            </a:extLst>
          </xdr:cNvPr>
          <xdr:cNvGraphicFramePr>
            <a:graphicFrameLocks/>
          </xdr:cNvGraphicFramePr>
        </xdr:nvGraphicFramePr>
        <xdr:xfrm>
          <a:off x="4603750" y="13114545"/>
          <a:ext cx="7040643" cy="47863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71E06CC-00D2-D25F-B4D3-267F44B104D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5099" t="16654" r="15028" b="8290"/>
          <a:stretch>
            <a:fillRect/>
          </a:stretch>
        </xdr:blipFill>
        <xdr:spPr bwMode="auto">
          <a:xfrm>
            <a:off x="5924550" y="13512800"/>
            <a:ext cx="5314950" cy="442840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266951</xdr:colOff>
      <xdr:row>19</xdr:row>
      <xdr:rowOff>96515</xdr:rowOff>
    </xdr:from>
    <xdr:to>
      <xdr:col>38</xdr:col>
      <xdr:colOff>130992</xdr:colOff>
      <xdr:row>52</xdr:row>
      <xdr:rowOff>47998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F71A8D-1AA0-894C-A12A-C18DD56A4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183680</xdr:colOff>
      <xdr:row>18</xdr:row>
      <xdr:rowOff>142752</xdr:rowOff>
    </xdr:from>
    <xdr:to>
      <xdr:col>8</xdr:col>
      <xdr:colOff>19412</xdr:colOff>
      <xdr:row>46</xdr:row>
      <xdr:rowOff>74396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0D2B14-BBD5-49F6-B766-A0B43EF9E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158415</xdr:colOff>
      <xdr:row>61</xdr:row>
      <xdr:rowOff>102608</xdr:rowOff>
    </xdr:from>
    <xdr:to>
      <xdr:col>39</xdr:col>
      <xdr:colOff>575226</xdr:colOff>
      <xdr:row>94</xdr:row>
      <xdr:rowOff>54983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30DBBCD-0BE9-97D8-BB79-C31547AA7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1500395</xdr:colOff>
      <xdr:row>63</xdr:row>
      <xdr:rowOff>41204</xdr:rowOff>
    </xdr:from>
    <xdr:to>
      <xdr:col>19</xdr:col>
      <xdr:colOff>144531</xdr:colOff>
      <xdr:row>80</xdr:row>
      <xdr:rowOff>65017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63D84FE-7752-798E-6D2F-66E01AA26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200025</xdr:colOff>
      <xdr:row>74</xdr:row>
      <xdr:rowOff>176212</xdr:rowOff>
    </xdr:from>
    <xdr:to>
      <xdr:col>12</xdr:col>
      <xdr:colOff>1295400</xdr:colOff>
      <xdr:row>89</xdr:row>
      <xdr:rowOff>61912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95D0CC1-DA86-E205-65BD-E10FCCF8B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371475</xdr:colOff>
      <xdr:row>77</xdr:row>
      <xdr:rowOff>0</xdr:rowOff>
    </xdr:from>
    <xdr:to>
      <xdr:col>6</xdr:col>
      <xdr:colOff>1047750</xdr:colOff>
      <xdr:row>105</xdr:row>
      <xdr:rowOff>26894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5DFC7B7-5B32-4A56-8C4E-BE7391B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559324</xdr:colOff>
      <xdr:row>15</xdr:row>
      <xdr:rowOff>146584</xdr:rowOff>
    </xdr:from>
    <xdr:to>
      <xdr:col>19</xdr:col>
      <xdr:colOff>411163</xdr:colOff>
      <xdr:row>43</xdr:row>
      <xdr:rowOff>108427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AA4817-E3AC-C8C2-5231-A07BB1D56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10843</xdr:colOff>
      <xdr:row>42</xdr:row>
      <xdr:rowOff>20376</xdr:rowOff>
    </xdr:from>
    <xdr:to>
      <xdr:col>13</xdr:col>
      <xdr:colOff>273051</xdr:colOff>
      <xdr:row>43</xdr:row>
      <xdr:rowOff>153987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B9F50B0-9400-4830-82D0-C9533402D516}"/>
            </a:ext>
          </a:extLst>
        </xdr:cNvPr>
        <xdr:cNvSpPr txBox="1"/>
      </xdr:nvSpPr>
      <xdr:spPr>
        <a:xfrm>
          <a:off x="10067656" y="8092814"/>
          <a:ext cx="3286395" cy="32411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latin typeface="Times New Roman" panose="02020603050405020304" pitchFamily="18" charset="0"/>
              <a:cs typeface="Times New Roman" panose="02020603050405020304" pitchFamily="18" charset="0"/>
            </a:rPr>
            <a:t>Analiz Tarihi: 01.06.1998 | Mavi daire büyüklüğü: Ortalama Sepet Tutarı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0.40967</cdr:x>
      <cdr:y>0.36082</cdr:y>
    </cdr:from>
    <cdr:to>
      <cdr:x>0.59674</cdr:x>
      <cdr:y>0.60423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266BA9-A39E-A8B9-3CFC-78B2934DEEC1}"/>
            </a:ext>
          </a:extLst>
        </cdr:cNvPr>
        <cdr:cNvSpPr txBox="1"/>
      </cdr:nvSpPr>
      <cdr:spPr>
        <a:xfrm xmlns:a="http://schemas.openxmlformats.org/drawingml/2006/main">
          <a:off x="3020543" y="1934307"/>
          <a:ext cx="1379278" cy="13049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GB" sz="16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Toplam</a:t>
          </a:r>
          <a:endParaRPr lang="tr-TR" sz="160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pPr algn="ctr"/>
          <a:r>
            <a:rPr lang="en-GB" sz="16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 € 419K</a:t>
          </a:r>
        </a:p>
      </cdr:txBody>
    </cdr:sp>
  </cdr:relSizeAnchor>
</c:userShape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p Esenyel" refreshedDate="46001.03877997685" createdVersion="8" refreshedVersion="8" minRefreshableVersion="3" recordCount="43" xr:uid="{825AA204-E847-40D6-B8DB-10B60CF4083D}">
  <cacheSource type="worksheet">
    <worksheetSource ref="B22:H65" sheet="SORU 1"/>
  </cacheSource>
  <cacheFields count="9">
    <cacheField name="Ürün_Adi" numFmtId="0">
      <sharedItems count="5">
        <s v="Côte de Blaye"/>
        <s v="Thüringer Rostbratwurst"/>
        <s v="Raclette Courdavault"/>
        <s v="Tarte au sucre"/>
        <s v="Camembert Pierrot"/>
      </sharedItems>
    </cacheField>
    <cacheField name="Kategori_Adi" numFmtId="0">
      <sharedItems/>
    </cacheField>
    <cacheField name="Birim_Fiyat" numFmtId="0">
      <sharedItems containsSemiMixedTypes="0" containsString="0" containsNumber="1" minValue="34" maxValue="263.5"/>
    </cacheField>
    <cacheField name="Mevcut_Tedarikci" numFmtId="0">
      <sharedItems count="4">
        <s v="Aux joyeux ecclésiastiques"/>
        <s v="Plutzer Lebensmittelgroßmärkte AG"/>
        <s v="Gai pâturage"/>
        <s v="Forêts d'érables"/>
      </sharedItems>
    </cacheField>
    <cacheField name="Toplam_Gelir" numFmtId="0">
      <sharedItems containsSemiMixedTypes="0" containsString="0" containsNumber="1" minValue="46825.48" maxValue="141396.74"/>
    </cacheField>
    <cacheField name="Alternatif_Ürün" numFmtId="0">
      <sharedItems/>
    </cacheField>
    <cacheField name="Alternatif_Tedarikci" numFmtId="0">
      <sharedItems/>
    </cacheField>
    <cacheField name="Alternatif_Fiyat" numFmtId="0">
      <sharedItems containsSemiMixedTypes="0" containsString="0" containsNumber="1" minValue="2.5" maxValue="97"/>
    </cacheField>
    <cacheField name="Fiyat_Farki" numFmtId="0">
      <sharedItems containsSemiMixedTypes="0" containsString="0" containsNumber="1" minValue="-31.7" maxValue="2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s v="Beverages"/>
    <n v="263.5"/>
    <x v="0"/>
    <n v="141396.74"/>
    <s v="Chai"/>
    <s v="Exotic Liquids"/>
    <n v="18"/>
    <n v="245.5"/>
  </r>
  <r>
    <x v="0"/>
    <s v="Beverages"/>
    <n v="263.5"/>
    <x v="0"/>
    <n v="141396.74"/>
    <s v="Chang"/>
    <s v="Exotic Liquids"/>
    <n v="19"/>
    <n v="244.5"/>
  </r>
  <r>
    <x v="0"/>
    <s v="Beverages"/>
    <n v="263.5"/>
    <x v="0"/>
    <n v="141396.74"/>
    <s v="Guaraná Fantástica"/>
    <s v="Refrescos Americanas LTDA"/>
    <n v="4.5"/>
    <n v="259"/>
  </r>
  <r>
    <x v="0"/>
    <s v="Beverages"/>
    <n v="263.5"/>
    <x v="0"/>
    <n v="141396.74"/>
    <s v="Sasquatch Ale"/>
    <s v="Bigfoot Breweries"/>
    <n v="14"/>
    <n v="249.5"/>
  </r>
  <r>
    <x v="0"/>
    <s v="Beverages"/>
    <n v="263.5"/>
    <x v="0"/>
    <n v="141396.74"/>
    <s v="Steeleye Stout"/>
    <s v="Bigfoot Breweries"/>
    <n v="18"/>
    <n v="245.5"/>
  </r>
  <r>
    <x v="0"/>
    <s v="Beverages"/>
    <n v="263.5"/>
    <x v="0"/>
    <n v="141396.74"/>
    <s v="Ipoh Coffee"/>
    <s v="Leka Trading"/>
    <n v="46"/>
    <n v="217.5"/>
  </r>
  <r>
    <x v="0"/>
    <s v="Beverages"/>
    <n v="263.5"/>
    <x v="0"/>
    <n v="141396.74"/>
    <s v="Laughing Lumberjack Lager"/>
    <s v="Bigfoot Breweries"/>
    <n v="14"/>
    <n v="249.5"/>
  </r>
  <r>
    <x v="0"/>
    <s v="Beverages"/>
    <n v="263.5"/>
    <x v="0"/>
    <n v="141396.74"/>
    <s v="Outback Lager"/>
    <s v="Pavlova, Ltd."/>
    <n v="15"/>
    <n v="248.5"/>
  </r>
  <r>
    <x v="0"/>
    <s v="Beverages"/>
    <n v="263.5"/>
    <x v="0"/>
    <n v="141396.74"/>
    <s v="Rhönbräu Klosterbier"/>
    <s v="Plutzer Lebensmittelgroßmärkte AG"/>
    <n v="7.75"/>
    <n v="255.75"/>
  </r>
  <r>
    <x v="0"/>
    <s v="Beverages"/>
    <n v="263.5"/>
    <x v="0"/>
    <n v="141396.74"/>
    <s v="Lakkalikööri"/>
    <s v="Karkki Oy"/>
    <n v="18"/>
    <n v="245.5"/>
  </r>
  <r>
    <x v="1"/>
    <s v="Meat/Poultry"/>
    <n v="123.79"/>
    <x v="1"/>
    <n v="80368.67"/>
    <s v="Mishi Kobe Niku"/>
    <s v="Tokyo Traders"/>
    <n v="97"/>
    <n v="26.79"/>
  </r>
  <r>
    <x v="1"/>
    <s v="Meat/Poultry"/>
    <n v="123.79"/>
    <x v="1"/>
    <n v="80368.67"/>
    <s v="Alice Mutton"/>
    <s v="Pavlova, Ltd."/>
    <n v="39"/>
    <n v="84.79"/>
  </r>
  <r>
    <x v="1"/>
    <s v="Meat/Poultry"/>
    <n v="123.79"/>
    <x v="1"/>
    <n v="80368.67"/>
    <s v="Perth Pasties"/>
    <s v="G'day, Mate"/>
    <n v="32.799999999999997"/>
    <n v="90.99"/>
  </r>
  <r>
    <x v="1"/>
    <s v="Meat/Poultry"/>
    <n v="123.79"/>
    <x v="1"/>
    <n v="80368.67"/>
    <s v="Tourtière"/>
    <s v="Ma Maison"/>
    <n v="7.45"/>
    <n v="116.34"/>
  </r>
  <r>
    <x v="1"/>
    <s v="Meat/Poultry"/>
    <n v="123.79"/>
    <x v="1"/>
    <n v="80368.67"/>
    <s v="Pâté chinois"/>
    <s v="Ma Maison"/>
    <n v="24"/>
    <n v="99.79"/>
  </r>
  <r>
    <x v="2"/>
    <s v="Dairy Products"/>
    <n v="55"/>
    <x v="2"/>
    <n v="71155.7"/>
    <s v="Queso Cabrales"/>
    <s v="Cooperativa de Quesos 'Las Cabras'"/>
    <n v="21"/>
    <n v="34"/>
  </r>
  <r>
    <x v="2"/>
    <s v="Dairy Products"/>
    <n v="55"/>
    <x v="2"/>
    <n v="71155.7"/>
    <s v="Queso Manchego La Pastora"/>
    <s v="Cooperativa de Quesos 'Las Cabras'"/>
    <n v="38"/>
    <n v="17"/>
  </r>
  <r>
    <x v="2"/>
    <s v="Dairy Products"/>
    <n v="55"/>
    <x v="2"/>
    <n v="71155.7"/>
    <s v="Gorgonzola Telino"/>
    <s v="Formaggi Fortini s.r.l."/>
    <n v="12.5"/>
    <n v="42.5"/>
  </r>
  <r>
    <x v="2"/>
    <s v="Dairy Products"/>
    <n v="55"/>
    <x v="2"/>
    <n v="71155.7"/>
    <s v="Mascarpone Fabioli"/>
    <s v="Formaggi Fortini s.r.l."/>
    <n v="32"/>
    <n v="23"/>
  </r>
  <r>
    <x v="2"/>
    <s v="Dairy Products"/>
    <n v="55"/>
    <x v="2"/>
    <n v="71155.7"/>
    <s v="Geitost"/>
    <s v="Norske Meierier"/>
    <n v="2.5"/>
    <n v="52.5"/>
  </r>
  <r>
    <x v="2"/>
    <s v="Dairy Products"/>
    <n v="55"/>
    <x v="2"/>
    <n v="71155.7"/>
    <s v="Gudbrandsdalsost"/>
    <s v="Norske Meierier"/>
    <n v="36"/>
    <n v="19"/>
  </r>
  <r>
    <x v="2"/>
    <s v="Dairy Products"/>
    <n v="55"/>
    <x v="2"/>
    <n v="71155.7"/>
    <s v="Flotemysost"/>
    <s v="Norske Meierier"/>
    <n v="21.5"/>
    <n v="33.5"/>
  </r>
  <r>
    <x v="2"/>
    <s v="Dairy Products"/>
    <n v="55"/>
    <x v="2"/>
    <n v="71155.7"/>
    <s v="Mozzarella di Giovanni"/>
    <s v="Formaggi Fortini s.r.l."/>
    <n v="34.799999999999997"/>
    <n v="20.2"/>
  </r>
  <r>
    <x v="3"/>
    <s v="Confections"/>
    <n v="49.3"/>
    <x v="3"/>
    <n v="47234.97"/>
    <s v="Pavlova"/>
    <s v="Pavlova, Ltd."/>
    <n v="17.45"/>
    <n v="31.85"/>
  </r>
  <r>
    <x v="3"/>
    <s v="Confections"/>
    <n v="49.3"/>
    <x v="3"/>
    <n v="47234.97"/>
    <s v="Teatime Chocolate Biscuits"/>
    <s v="Specialty Biscuits, Ltd."/>
    <n v="9.1999999999999993"/>
    <n v="40.1"/>
  </r>
  <r>
    <x v="3"/>
    <s v="Confections"/>
    <n v="49.3"/>
    <x v="3"/>
    <n v="47234.97"/>
    <s v="Sir Rodney's Marmalade"/>
    <s v="Specialty Biscuits, Ltd."/>
    <n v="81"/>
    <n v="-31.7"/>
  </r>
  <r>
    <x v="3"/>
    <s v="Confections"/>
    <n v="49.3"/>
    <x v="3"/>
    <n v="47234.97"/>
    <s v="Sir Rodney's Scones"/>
    <s v="Specialty Biscuits, Ltd."/>
    <n v="10"/>
    <n v="39.299999999999997"/>
  </r>
  <r>
    <x v="3"/>
    <s v="Confections"/>
    <n v="49.3"/>
    <x v="3"/>
    <n v="47234.97"/>
    <s v="NuNuCa Nuß-Nougat-Creme"/>
    <s v="Heli Süßwaren GmbH &amp; Co. KG"/>
    <n v="14"/>
    <n v="35.299999999999997"/>
  </r>
  <r>
    <x v="3"/>
    <s v="Confections"/>
    <n v="49.3"/>
    <x v="3"/>
    <n v="47234.97"/>
    <s v="Gumbär Gummibärchen"/>
    <s v="Heli Süßwaren GmbH &amp; Co. KG"/>
    <n v="31.23"/>
    <n v="18.07"/>
  </r>
  <r>
    <x v="3"/>
    <s v="Confections"/>
    <n v="49.3"/>
    <x v="3"/>
    <n v="47234.97"/>
    <s v="Schoggi Schokolade"/>
    <s v="Heli Süßwaren GmbH &amp; Co. KG"/>
    <n v="43.9"/>
    <n v="5.4"/>
  </r>
  <r>
    <x v="3"/>
    <s v="Confections"/>
    <n v="49.3"/>
    <x v="3"/>
    <n v="47234.97"/>
    <s v="Zaanse koeken"/>
    <s v="Zaanse Snoepfabriek"/>
    <n v="9.5"/>
    <n v="39.799999999999997"/>
  </r>
  <r>
    <x v="3"/>
    <s v="Confections"/>
    <n v="49.3"/>
    <x v="3"/>
    <n v="47234.97"/>
    <s v="Chocolade"/>
    <s v="Zaanse Snoepfabriek"/>
    <n v="12.75"/>
    <n v="36.549999999999997"/>
  </r>
  <r>
    <x v="3"/>
    <s v="Confections"/>
    <n v="49.3"/>
    <x v="3"/>
    <n v="47234.97"/>
    <s v="Maxilaku"/>
    <s v="Karkki Oy"/>
    <n v="20"/>
    <n v="29.3"/>
  </r>
  <r>
    <x v="3"/>
    <s v="Confections"/>
    <n v="49.3"/>
    <x v="3"/>
    <n v="47234.97"/>
    <s v="Valkoinen suklaa"/>
    <s v="Karkki Oy"/>
    <n v="16.25"/>
    <n v="33.049999999999997"/>
  </r>
  <r>
    <x v="3"/>
    <s v="Confections"/>
    <n v="49.3"/>
    <x v="3"/>
    <n v="47234.97"/>
    <s v="Scottish Longbreads"/>
    <s v="Specialty Biscuits, Ltd."/>
    <n v="12.5"/>
    <n v="36.799999999999997"/>
  </r>
  <r>
    <x v="4"/>
    <s v="Dairy Products"/>
    <n v="34"/>
    <x v="2"/>
    <n v="46825.48"/>
    <s v="Queso Cabrales"/>
    <s v="Cooperativa de Quesos 'Las Cabras'"/>
    <n v="21"/>
    <n v="13"/>
  </r>
  <r>
    <x v="4"/>
    <s v="Dairy Products"/>
    <n v="34"/>
    <x v="2"/>
    <n v="46825.48"/>
    <s v="Queso Manchego La Pastora"/>
    <s v="Cooperativa de Quesos 'Las Cabras'"/>
    <n v="38"/>
    <n v="-4"/>
  </r>
  <r>
    <x v="4"/>
    <s v="Dairy Products"/>
    <n v="34"/>
    <x v="2"/>
    <n v="46825.48"/>
    <s v="Gorgonzola Telino"/>
    <s v="Formaggi Fortini s.r.l."/>
    <n v="12.5"/>
    <n v="21.5"/>
  </r>
  <r>
    <x v="4"/>
    <s v="Dairy Products"/>
    <n v="34"/>
    <x v="2"/>
    <n v="46825.48"/>
    <s v="Mascarpone Fabioli"/>
    <s v="Formaggi Fortini s.r.l."/>
    <n v="32"/>
    <n v="2"/>
  </r>
  <r>
    <x v="4"/>
    <s v="Dairy Products"/>
    <n v="34"/>
    <x v="2"/>
    <n v="46825.48"/>
    <s v="Geitost"/>
    <s v="Norske Meierier"/>
    <n v="2.5"/>
    <n v="31.5"/>
  </r>
  <r>
    <x v="4"/>
    <s v="Dairy Products"/>
    <n v="34"/>
    <x v="2"/>
    <n v="46825.48"/>
    <s v="Gudbrandsdalsost"/>
    <s v="Norske Meierier"/>
    <n v="36"/>
    <n v="-2"/>
  </r>
  <r>
    <x v="4"/>
    <s v="Dairy Products"/>
    <n v="34"/>
    <x v="2"/>
    <n v="46825.48"/>
    <s v="Flotemysost"/>
    <s v="Norske Meierier"/>
    <n v="21.5"/>
    <n v="12.5"/>
  </r>
  <r>
    <x v="4"/>
    <s v="Dairy Products"/>
    <n v="34"/>
    <x v="2"/>
    <n v="46825.48"/>
    <s v="Mozzarella di Giovanni"/>
    <s v="Formaggi Fortini s.r.l."/>
    <n v="34.799999999999997"/>
    <n v="-0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14B06-DD02-409E-BE2E-C5895C2C43C7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0:D75" firstHeaderRow="0" firstDataRow="1" firstDataCol="1"/>
  <pivotFields count="9">
    <pivotField showAll="0">
      <items count="6">
        <item x="4"/>
        <item x="0"/>
        <item x="2"/>
        <item x="3"/>
        <item x="1"/>
        <item t="default"/>
      </items>
    </pivotField>
    <pivotField showAll="0"/>
    <pivotField dataField="1"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Birim_Fiyat" fld="2" subtotal="max" baseField="0" baseItem="1"/>
    <dataField name="Min of Alternatif_Fiyat" fld="7" subtotal="min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V103"/>
  <sheetViews>
    <sheetView topLeftCell="M22" zoomScaleNormal="100" workbookViewId="0">
      <selection activeCell="Q51" sqref="Q51"/>
    </sheetView>
  </sheetViews>
  <sheetFormatPr defaultRowHeight="15" x14ac:dyDescent="0.25"/>
  <cols>
    <col min="2" max="2" width="32.140625" bestFit="1" customWidth="1"/>
    <col min="3" max="3" width="67.42578125" customWidth="1"/>
    <col min="4" max="4" width="20.85546875" bestFit="1" customWidth="1"/>
    <col min="5" max="5" width="32.140625" bestFit="1" customWidth="1"/>
    <col min="6" max="6" width="22.5703125" bestFit="1" customWidth="1"/>
    <col min="7" max="7" width="39.5703125" customWidth="1"/>
    <col min="8" max="8" width="20.85546875" bestFit="1" customWidth="1"/>
    <col min="9" max="9" width="14.140625" bestFit="1" customWidth="1"/>
    <col min="10" max="10" width="10.42578125" bestFit="1" customWidth="1"/>
    <col min="11" max="11" width="14.85546875" customWidth="1"/>
    <col min="12" max="12" width="17.7109375" style="12" customWidth="1"/>
    <col min="13" max="13" width="15.28515625" customWidth="1"/>
    <col min="18" max="18" width="47.140625" customWidth="1"/>
    <col min="19" max="19" width="33" bestFit="1" customWidth="1"/>
    <col min="20" max="20" width="33" customWidth="1"/>
    <col min="21" max="21" width="12.7109375" customWidth="1"/>
    <col min="22" max="22" width="27" customWidth="1"/>
    <col min="24" max="24" width="17.140625" customWidth="1"/>
    <col min="25" max="25" width="14" customWidth="1"/>
    <col min="26" max="26" width="33.28515625" customWidth="1"/>
    <col min="27" max="27" width="28.140625" customWidth="1"/>
    <col min="28" max="28" width="25" customWidth="1"/>
    <col min="29" max="29" width="33" customWidth="1"/>
    <col min="30" max="30" width="29" customWidth="1"/>
    <col min="31" max="31" width="31.42578125" customWidth="1"/>
    <col min="36" max="36" width="32.140625" bestFit="1" customWidth="1"/>
    <col min="37" max="37" width="32.140625" customWidth="1"/>
    <col min="38" max="38" width="33" bestFit="1" customWidth="1"/>
    <col min="40" max="40" width="33" bestFit="1" customWidth="1"/>
  </cols>
  <sheetData>
    <row r="1" spans="2:48" x14ac:dyDescent="0.25">
      <c r="B1" t="s">
        <v>20</v>
      </c>
    </row>
    <row r="2" spans="2:48" x14ac:dyDescent="0.25">
      <c r="B2" t="s">
        <v>21</v>
      </c>
    </row>
    <row r="3" spans="2:48" x14ac:dyDescent="0.25">
      <c r="B3" t="s">
        <v>79</v>
      </c>
    </row>
    <row r="4" spans="2:48" x14ac:dyDescent="0.25">
      <c r="B4" t="s">
        <v>80</v>
      </c>
    </row>
    <row r="5" spans="2:48" x14ac:dyDescent="0.25">
      <c r="B5" t="s">
        <v>81</v>
      </c>
      <c r="L5"/>
      <c r="M5" s="12"/>
      <c r="AK5" s="9"/>
      <c r="AL5" s="32" t="s">
        <v>149</v>
      </c>
    </row>
    <row r="6" spans="2:48" x14ac:dyDescent="0.25">
      <c r="I6" t="s">
        <v>122</v>
      </c>
      <c r="L6"/>
      <c r="M6" t="s">
        <v>123</v>
      </c>
      <c r="O6" t="s">
        <v>125</v>
      </c>
      <c r="S6" s="9" t="s">
        <v>3</v>
      </c>
      <c r="T6" s="9"/>
      <c r="U6" s="9" t="s">
        <v>193</v>
      </c>
      <c r="AK6" s="6"/>
      <c r="AL6" s="6" t="s">
        <v>26</v>
      </c>
    </row>
    <row r="7" spans="2:48" x14ac:dyDescent="0.25">
      <c r="B7" s="8" t="s">
        <v>0</v>
      </c>
      <c r="C7" s="9" t="s">
        <v>1</v>
      </c>
      <c r="D7" s="10" t="s">
        <v>2</v>
      </c>
      <c r="E7" s="9" t="s">
        <v>3</v>
      </c>
      <c r="F7" s="10" t="s">
        <v>4</v>
      </c>
      <c r="G7" s="9" t="s">
        <v>148</v>
      </c>
      <c r="H7" s="10" t="s">
        <v>5</v>
      </c>
      <c r="I7" s="9" t="s">
        <v>6</v>
      </c>
      <c r="J7" s="9" t="s">
        <v>6</v>
      </c>
      <c r="K7" s="6" t="s">
        <v>124</v>
      </c>
      <c r="L7" t="s">
        <v>126</v>
      </c>
      <c r="M7" t="s">
        <v>6</v>
      </c>
      <c r="O7" s="12" t="s">
        <v>124</v>
      </c>
      <c r="R7" s="6" t="s">
        <v>16</v>
      </c>
      <c r="S7" s="6" t="s">
        <v>17</v>
      </c>
      <c r="T7" s="68" t="s">
        <v>18</v>
      </c>
      <c r="U7" s="22">
        <v>47234.97</v>
      </c>
      <c r="AK7" s="6"/>
      <c r="AL7" s="6" t="s">
        <v>29</v>
      </c>
      <c r="AV7">
        <v>6</v>
      </c>
    </row>
    <row r="8" spans="2:48" x14ac:dyDescent="0.25">
      <c r="B8" s="2">
        <v>38</v>
      </c>
      <c r="C8" s="6" t="s">
        <v>7</v>
      </c>
      <c r="D8">
        <v>1</v>
      </c>
      <c r="E8" s="6" t="s">
        <v>8</v>
      </c>
      <c r="F8">
        <v>18</v>
      </c>
      <c r="G8" s="6" t="s">
        <v>9</v>
      </c>
      <c r="H8">
        <v>263.5</v>
      </c>
      <c r="I8" s="17">
        <v>141396.74</v>
      </c>
      <c r="J8" s="19">
        <v>141396.74</v>
      </c>
      <c r="K8" s="12">
        <f>I8/$I$13</f>
        <v>0.36538366324224858</v>
      </c>
      <c r="L8" s="12">
        <f>I8/$M$8</f>
        <v>0.11170604951343388</v>
      </c>
      <c r="M8" s="16">
        <v>1265793.04</v>
      </c>
      <c r="O8" s="12">
        <f>I13/M8</f>
        <v>0.30572261639232895</v>
      </c>
      <c r="R8" s="6" t="s">
        <v>128</v>
      </c>
      <c r="S8" s="6" t="s">
        <v>11</v>
      </c>
      <c r="T8" s="78" t="s">
        <v>12</v>
      </c>
      <c r="U8" s="22">
        <v>80368.67</v>
      </c>
      <c r="AK8" s="6"/>
      <c r="AL8" s="6" t="s">
        <v>31</v>
      </c>
    </row>
    <row r="9" spans="2:48" x14ac:dyDescent="0.25">
      <c r="B9" s="2">
        <v>29</v>
      </c>
      <c r="C9" s="6" t="s">
        <v>127</v>
      </c>
      <c r="D9">
        <v>6</v>
      </c>
      <c r="E9" s="6" t="s">
        <v>11</v>
      </c>
      <c r="F9">
        <v>12</v>
      </c>
      <c r="G9" s="6" t="s">
        <v>12</v>
      </c>
      <c r="H9">
        <v>123.79</v>
      </c>
      <c r="I9" s="17">
        <v>80368.67</v>
      </c>
      <c r="J9" s="19">
        <v>80368.67</v>
      </c>
      <c r="K9" s="12">
        <f>I9/$I$13</f>
        <v>0.20768087761080919</v>
      </c>
      <c r="L9" s="12">
        <f>I9/$M$8</f>
        <v>6.3492741277831638E-2</v>
      </c>
      <c r="R9" s="6" t="s">
        <v>130</v>
      </c>
      <c r="S9" s="6" t="s">
        <v>14</v>
      </c>
      <c r="T9" s="72" t="s">
        <v>15</v>
      </c>
      <c r="U9" s="22">
        <v>117981.18</v>
      </c>
      <c r="V9" s="16"/>
      <c r="AK9" s="6"/>
      <c r="AL9" s="6" t="s">
        <v>34</v>
      </c>
    </row>
    <row r="10" spans="2:48" x14ac:dyDescent="0.25">
      <c r="B10" s="2">
        <v>59</v>
      </c>
      <c r="C10" s="6" t="s">
        <v>13</v>
      </c>
      <c r="D10">
        <v>4</v>
      </c>
      <c r="E10" s="6" t="s">
        <v>14</v>
      </c>
      <c r="F10">
        <v>28</v>
      </c>
      <c r="G10" s="6" t="s">
        <v>15</v>
      </c>
      <c r="H10">
        <v>55</v>
      </c>
      <c r="I10" s="17">
        <v>71155.7</v>
      </c>
      <c r="J10" s="19">
        <v>71155.7</v>
      </c>
      <c r="K10" s="12">
        <f>I10/$I$13</f>
        <v>0.18387361919777265</v>
      </c>
      <c r="L10" s="12">
        <f>I10/$M$8</f>
        <v>5.6214323946669822E-2</v>
      </c>
      <c r="R10" s="6" t="s">
        <v>7</v>
      </c>
      <c r="S10" s="6" t="s">
        <v>8</v>
      </c>
      <c r="T10" s="74" t="s">
        <v>9</v>
      </c>
      <c r="U10" s="22">
        <v>141396.74</v>
      </c>
      <c r="AK10" s="3"/>
      <c r="AL10" s="6" t="s">
        <v>37</v>
      </c>
    </row>
    <row r="11" spans="2:48" x14ac:dyDescent="0.25">
      <c r="B11" s="2">
        <v>62</v>
      </c>
      <c r="C11" s="6" t="s">
        <v>16</v>
      </c>
      <c r="D11">
        <v>3</v>
      </c>
      <c r="E11" s="6" t="s">
        <v>17</v>
      </c>
      <c r="F11">
        <v>29</v>
      </c>
      <c r="G11" s="6" t="s">
        <v>18</v>
      </c>
      <c r="H11">
        <v>49.3</v>
      </c>
      <c r="I11" s="17">
        <v>47234.97</v>
      </c>
      <c r="J11" s="19">
        <v>47234.97</v>
      </c>
      <c r="K11" s="12">
        <f>I11/$I$13</f>
        <v>0.1220600020321382</v>
      </c>
      <c r="L11" s="12">
        <f>I11/$M$8</f>
        <v>3.7316503178118278E-2</v>
      </c>
      <c r="R11" s="7"/>
      <c r="S11" s="7"/>
      <c r="T11" s="7"/>
      <c r="U11" s="13"/>
      <c r="AL11" s="6" t="s">
        <v>12</v>
      </c>
    </row>
    <row r="12" spans="2:48" x14ac:dyDescent="0.25">
      <c r="B12" s="4">
        <v>60</v>
      </c>
      <c r="C12" s="7" t="s">
        <v>19</v>
      </c>
      <c r="D12" s="1">
        <v>4</v>
      </c>
      <c r="E12" s="7" t="s">
        <v>14</v>
      </c>
      <c r="F12" s="1">
        <v>28</v>
      </c>
      <c r="G12" s="7" t="s">
        <v>15</v>
      </c>
      <c r="H12" s="1">
        <v>34</v>
      </c>
      <c r="I12" s="18">
        <v>46825.48</v>
      </c>
      <c r="J12" s="20">
        <v>46825.48</v>
      </c>
      <c r="K12" s="12">
        <f>I12/$I$13</f>
        <v>0.12100183791703152</v>
      </c>
      <c r="L12" s="12">
        <f>I12/$M$8</f>
        <v>3.6992998476275393E-2</v>
      </c>
      <c r="AA12" t="s">
        <v>196</v>
      </c>
      <c r="AB12" t="s">
        <v>152</v>
      </c>
      <c r="AC12" t="s">
        <v>195</v>
      </c>
      <c r="AL12" s="6" t="s">
        <v>40</v>
      </c>
    </row>
    <row r="13" spans="2:48" x14ac:dyDescent="0.25">
      <c r="I13" s="16">
        <f>I8+I9+I10+I11+I12</f>
        <v>386981.55999999994</v>
      </c>
      <c r="J13" s="21">
        <f>J8+J9+J10+J11+J12</f>
        <v>386981.55999999994</v>
      </c>
      <c r="AA13" t="s">
        <v>197</v>
      </c>
      <c r="AB13" t="s">
        <v>8</v>
      </c>
      <c r="AC13" t="s">
        <v>9</v>
      </c>
      <c r="AL13" s="6" t="s">
        <v>42</v>
      </c>
    </row>
    <row r="14" spans="2:48" x14ac:dyDescent="0.25">
      <c r="B14" t="s">
        <v>185</v>
      </c>
      <c r="C14" s="9" t="s">
        <v>1</v>
      </c>
      <c r="D14" t="s">
        <v>186</v>
      </c>
      <c r="E14" t="s">
        <v>6</v>
      </c>
      <c r="G14" s="6" t="s">
        <v>131</v>
      </c>
      <c r="H14" s="6" t="s">
        <v>9</v>
      </c>
      <c r="I14" s="16"/>
      <c r="J14" s="21"/>
      <c r="AA14" t="s">
        <v>198</v>
      </c>
      <c r="AB14" t="s">
        <v>11</v>
      </c>
      <c r="AC14" t="s">
        <v>194</v>
      </c>
      <c r="AL14" s="6"/>
    </row>
    <row r="15" spans="2:48" x14ac:dyDescent="0.25">
      <c r="B15">
        <v>38</v>
      </c>
      <c r="C15" s="6" t="s">
        <v>131</v>
      </c>
      <c r="D15">
        <v>623</v>
      </c>
      <c r="E15">
        <v>141396.73522949201</v>
      </c>
      <c r="G15" s="6" t="s">
        <v>10</v>
      </c>
      <c r="H15" s="6" t="s">
        <v>12</v>
      </c>
      <c r="I15" s="16"/>
      <c r="J15" s="21"/>
      <c r="AA15" t="s">
        <v>199</v>
      </c>
      <c r="AB15" t="s">
        <v>153</v>
      </c>
      <c r="AC15" t="s">
        <v>15</v>
      </c>
      <c r="AL15" s="6"/>
    </row>
    <row r="16" spans="2:48" x14ac:dyDescent="0.25">
      <c r="B16">
        <v>29</v>
      </c>
      <c r="C16" s="6" t="s">
        <v>127</v>
      </c>
      <c r="D16">
        <v>746</v>
      </c>
      <c r="E16">
        <v>80368.671997070298</v>
      </c>
      <c r="G16" s="6" t="s">
        <v>129</v>
      </c>
      <c r="H16" s="6" t="s">
        <v>15</v>
      </c>
      <c r="I16" s="16"/>
      <c r="J16" s="21"/>
      <c r="AA16" t="s">
        <v>16</v>
      </c>
      <c r="AB16" t="s">
        <v>17</v>
      </c>
      <c r="AC16" t="s">
        <v>18</v>
      </c>
      <c r="AL16" s="6"/>
    </row>
    <row r="17" spans="2:38" x14ac:dyDescent="0.25">
      <c r="B17">
        <v>59</v>
      </c>
      <c r="C17" s="6" t="s">
        <v>129</v>
      </c>
      <c r="D17">
        <v>1496</v>
      </c>
      <c r="E17">
        <v>71155.700027465806</v>
      </c>
      <c r="G17" s="6" t="s">
        <v>188</v>
      </c>
      <c r="H17" s="6" t="s">
        <v>18</v>
      </c>
      <c r="I17" s="16"/>
      <c r="J17" s="21"/>
      <c r="AA17" t="s">
        <v>200</v>
      </c>
      <c r="AB17" t="s">
        <v>153</v>
      </c>
      <c r="AC17" t="s">
        <v>15</v>
      </c>
      <c r="AL17" s="6"/>
    </row>
    <row r="18" spans="2:38" x14ac:dyDescent="0.25">
      <c r="B18">
        <v>62</v>
      </c>
      <c r="C18" s="6" t="s">
        <v>16</v>
      </c>
      <c r="D18">
        <v>1083</v>
      </c>
      <c r="E18">
        <v>47234.969902038501</v>
      </c>
      <c r="G18" s="7" t="s">
        <v>19</v>
      </c>
      <c r="H18" s="7" t="s">
        <v>15</v>
      </c>
      <c r="I18" s="16"/>
      <c r="J18" s="21"/>
      <c r="AL18" s="6"/>
    </row>
    <row r="19" spans="2:38" x14ac:dyDescent="0.25">
      <c r="B19">
        <v>60</v>
      </c>
      <c r="C19" s="7" t="s">
        <v>19</v>
      </c>
      <c r="D19">
        <v>1577</v>
      </c>
      <c r="E19">
        <v>46825.480133056597</v>
      </c>
      <c r="I19" s="16"/>
      <c r="J19" s="21"/>
      <c r="AL19" s="6"/>
    </row>
    <row r="20" spans="2:38" x14ac:dyDescent="0.25">
      <c r="I20" s="16"/>
      <c r="J20" s="21"/>
      <c r="AL20" s="6"/>
    </row>
    <row r="21" spans="2:38" x14ac:dyDescent="0.25">
      <c r="AL21" s="6" t="s">
        <v>47</v>
      </c>
    </row>
    <row r="22" spans="2:38" x14ac:dyDescent="0.25">
      <c r="B22" s="8" t="s">
        <v>1</v>
      </c>
      <c r="C22" s="9" t="s">
        <v>3</v>
      </c>
      <c r="D22" s="9" t="s">
        <v>5</v>
      </c>
      <c r="E22" s="10" t="s">
        <v>22</v>
      </c>
      <c r="F22" s="9" t="s">
        <v>6</v>
      </c>
      <c r="G22" s="10" t="s">
        <v>23</v>
      </c>
      <c r="H22" s="9" t="s">
        <v>24</v>
      </c>
      <c r="J22" s="12"/>
      <c r="L22"/>
      <c r="AJ22" s="6" t="s">
        <v>50</v>
      </c>
    </row>
    <row r="23" spans="2:38" x14ac:dyDescent="0.25">
      <c r="B23" s="2" t="s">
        <v>7</v>
      </c>
      <c r="C23" s="6" t="s">
        <v>8</v>
      </c>
      <c r="D23" s="6">
        <v>263.5</v>
      </c>
      <c r="E23" t="s">
        <v>9</v>
      </c>
      <c r="F23" s="6">
        <v>141396.74</v>
      </c>
      <c r="G23" t="s">
        <v>25</v>
      </c>
      <c r="H23" s="6" t="s">
        <v>26</v>
      </c>
      <c r="J23" s="12"/>
      <c r="L23"/>
      <c r="Y23" s="9" t="s">
        <v>1</v>
      </c>
      <c r="Z23" s="9" t="s">
        <v>6</v>
      </c>
      <c r="AJ23" s="6" t="s">
        <v>53</v>
      </c>
    </row>
    <row r="24" spans="2:38" x14ac:dyDescent="0.25">
      <c r="B24" s="2" t="s">
        <v>7</v>
      </c>
      <c r="C24" s="6" t="s">
        <v>8</v>
      </c>
      <c r="D24" s="6">
        <v>263.5</v>
      </c>
      <c r="E24" t="s">
        <v>9</v>
      </c>
      <c r="F24" s="6">
        <v>141396.74</v>
      </c>
      <c r="G24" t="s">
        <v>27</v>
      </c>
      <c r="H24" s="6" t="s">
        <v>26</v>
      </c>
      <c r="J24" s="12"/>
      <c r="L24"/>
      <c r="Y24" s="6" t="s">
        <v>19</v>
      </c>
      <c r="Z24" s="19">
        <v>46825.48</v>
      </c>
      <c r="AA24" t="s">
        <v>183</v>
      </c>
      <c r="AJ24" s="6" t="s">
        <v>56</v>
      </c>
    </row>
    <row r="25" spans="2:38" x14ac:dyDescent="0.25">
      <c r="B25" s="2" t="s">
        <v>7</v>
      </c>
      <c r="C25" s="6" t="s">
        <v>8</v>
      </c>
      <c r="D25" s="6">
        <v>263.5</v>
      </c>
      <c r="E25" t="s">
        <v>9</v>
      </c>
      <c r="F25" s="6">
        <v>141396.74</v>
      </c>
      <c r="G25" t="s">
        <v>28</v>
      </c>
      <c r="H25" s="6" t="s">
        <v>29</v>
      </c>
      <c r="J25" s="12"/>
      <c r="L25"/>
      <c r="Y25" s="6" t="s">
        <v>16</v>
      </c>
      <c r="Z25" s="19">
        <v>47234.97</v>
      </c>
      <c r="AJ25" s="6" t="s">
        <v>62</v>
      </c>
    </row>
    <row r="26" spans="2:38" x14ac:dyDescent="0.25">
      <c r="B26" s="2" t="s">
        <v>7</v>
      </c>
      <c r="C26" s="6" t="s">
        <v>8</v>
      </c>
      <c r="D26" s="6">
        <v>263.5</v>
      </c>
      <c r="E26" t="s">
        <v>9</v>
      </c>
      <c r="F26" s="6">
        <v>141396.74</v>
      </c>
      <c r="G26" t="s">
        <v>30</v>
      </c>
      <c r="H26" s="6" t="s">
        <v>31</v>
      </c>
      <c r="J26" s="12"/>
      <c r="L26"/>
      <c r="Q26" s="39" t="s">
        <v>164</v>
      </c>
      <c r="R26" s="39"/>
      <c r="Y26" s="6" t="s">
        <v>13</v>
      </c>
      <c r="Z26" s="19">
        <v>71155.7</v>
      </c>
      <c r="AJ26" s="6" t="s">
        <v>66</v>
      </c>
    </row>
    <row r="27" spans="2:38" x14ac:dyDescent="0.25">
      <c r="B27" s="2" t="s">
        <v>7</v>
      </c>
      <c r="C27" s="6" t="s">
        <v>8</v>
      </c>
      <c r="D27" s="6">
        <v>263.5</v>
      </c>
      <c r="E27" t="s">
        <v>9</v>
      </c>
      <c r="F27" s="6">
        <v>141396.74</v>
      </c>
      <c r="G27" t="s">
        <v>32</v>
      </c>
      <c r="H27" s="6" t="s">
        <v>31</v>
      </c>
      <c r="J27" s="12"/>
      <c r="L27"/>
      <c r="Y27" s="6" t="s">
        <v>127</v>
      </c>
      <c r="Z27" s="19">
        <v>80368.67</v>
      </c>
      <c r="AH27" t="s">
        <v>132</v>
      </c>
      <c r="AJ27" s="7" t="s">
        <v>70</v>
      </c>
    </row>
    <row r="28" spans="2:38" x14ac:dyDescent="0.25">
      <c r="B28" s="2" t="s">
        <v>7</v>
      </c>
      <c r="C28" s="6" t="s">
        <v>8</v>
      </c>
      <c r="D28" s="6">
        <v>263.5</v>
      </c>
      <c r="E28" t="s">
        <v>9</v>
      </c>
      <c r="F28" s="6">
        <v>141396.74</v>
      </c>
      <c r="G28" t="s">
        <v>33</v>
      </c>
      <c r="H28" s="6" t="s">
        <v>34</v>
      </c>
      <c r="J28" s="12"/>
      <c r="L28"/>
      <c r="Q28" s="39" t="s">
        <v>165</v>
      </c>
      <c r="R28" s="39"/>
      <c r="Y28" s="7" t="s">
        <v>7</v>
      </c>
      <c r="Z28" s="20">
        <v>141396.74</v>
      </c>
    </row>
    <row r="29" spans="2:38" x14ac:dyDescent="0.25">
      <c r="B29" s="2" t="s">
        <v>7</v>
      </c>
      <c r="C29" s="6" t="s">
        <v>8</v>
      </c>
      <c r="D29" s="6">
        <v>263.5</v>
      </c>
      <c r="E29" t="s">
        <v>9</v>
      </c>
      <c r="F29" s="6">
        <v>141396.74</v>
      </c>
      <c r="G29" t="s">
        <v>35</v>
      </c>
      <c r="H29" s="6" t="s">
        <v>31</v>
      </c>
      <c r="J29" s="12"/>
      <c r="L29"/>
    </row>
    <row r="30" spans="2:38" x14ac:dyDescent="0.25">
      <c r="B30" s="2" t="s">
        <v>7</v>
      </c>
      <c r="C30" s="6" t="s">
        <v>8</v>
      </c>
      <c r="D30" s="6">
        <v>263.5</v>
      </c>
      <c r="E30" t="s">
        <v>9</v>
      </c>
      <c r="F30" s="6">
        <v>141396.74</v>
      </c>
      <c r="G30" t="s">
        <v>36</v>
      </c>
      <c r="H30" s="6" t="s">
        <v>37</v>
      </c>
      <c r="J30" s="12"/>
      <c r="L30"/>
      <c r="Q30" s="39" t="s">
        <v>166</v>
      </c>
      <c r="R30" s="39"/>
      <c r="AJ30" s="9" t="s">
        <v>3</v>
      </c>
      <c r="AK30" s="9" t="s">
        <v>24</v>
      </c>
    </row>
    <row r="31" spans="2:38" x14ac:dyDescent="0.25">
      <c r="B31" s="2" t="s">
        <v>7</v>
      </c>
      <c r="C31" s="6" t="s">
        <v>8</v>
      </c>
      <c r="D31" s="6">
        <v>263.5</v>
      </c>
      <c r="E31" t="s">
        <v>9</v>
      </c>
      <c r="F31" s="6">
        <v>141396.74</v>
      </c>
      <c r="G31" t="s">
        <v>38</v>
      </c>
      <c r="H31" s="6" t="s">
        <v>12</v>
      </c>
      <c r="J31" s="12"/>
      <c r="L31"/>
      <c r="AJ31" s="6" t="s">
        <v>8</v>
      </c>
      <c r="AK31" s="6" t="s">
        <v>26</v>
      </c>
    </row>
    <row r="32" spans="2:38" x14ac:dyDescent="0.25">
      <c r="B32" s="2" t="s">
        <v>7</v>
      </c>
      <c r="C32" s="6" t="s">
        <v>8</v>
      </c>
      <c r="D32" s="6">
        <v>263.5</v>
      </c>
      <c r="E32" t="s">
        <v>9</v>
      </c>
      <c r="F32" s="6">
        <v>141396.74</v>
      </c>
      <c r="G32" t="s">
        <v>39</v>
      </c>
      <c r="H32" s="6" t="s">
        <v>40</v>
      </c>
      <c r="J32" s="12"/>
      <c r="L32"/>
      <c r="Q32" s="39" t="s">
        <v>167</v>
      </c>
      <c r="R32" s="39"/>
      <c r="AJ32" s="6" t="s">
        <v>8</v>
      </c>
      <c r="AK32" s="6" t="s">
        <v>29</v>
      </c>
    </row>
    <row r="33" spans="2:37" x14ac:dyDescent="0.25">
      <c r="B33" s="2" t="s">
        <v>10</v>
      </c>
      <c r="C33" s="6" t="s">
        <v>11</v>
      </c>
      <c r="D33" s="6">
        <v>123.79</v>
      </c>
      <c r="E33" t="s">
        <v>12</v>
      </c>
      <c r="F33" s="6">
        <v>80368.67</v>
      </c>
      <c r="G33" t="s">
        <v>41</v>
      </c>
      <c r="H33" s="6" t="s">
        <v>42</v>
      </c>
      <c r="J33" s="12"/>
      <c r="L33"/>
      <c r="AJ33" s="6" t="s">
        <v>8</v>
      </c>
      <c r="AK33" s="6" t="s">
        <v>31</v>
      </c>
    </row>
    <row r="34" spans="2:37" x14ac:dyDescent="0.25">
      <c r="B34" s="2" t="s">
        <v>10</v>
      </c>
      <c r="C34" s="6" t="s">
        <v>11</v>
      </c>
      <c r="D34" s="6">
        <v>123.79</v>
      </c>
      <c r="E34" t="s">
        <v>12</v>
      </c>
      <c r="F34" s="6">
        <v>80368.67</v>
      </c>
      <c r="G34" t="s">
        <v>43</v>
      </c>
      <c r="H34" s="6" t="s">
        <v>37</v>
      </c>
      <c r="J34" s="12"/>
      <c r="L34"/>
      <c r="Q34" s="39" t="s">
        <v>168</v>
      </c>
      <c r="R34" s="39"/>
      <c r="AJ34" s="6" t="s">
        <v>8</v>
      </c>
      <c r="AK34" s="6" t="s">
        <v>34</v>
      </c>
    </row>
    <row r="35" spans="2:37" x14ac:dyDescent="0.25">
      <c r="B35" s="2" t="s">
        <v>10</v>
      </c>
      <c r="C35" s="6" t="s">
        <v>11</v>
      </c>
      <c r="D35" s="6">
        <v>123.79</v>
      </c>
      <c r="E35" t="s">
        <v>12</v>
      </c>
      <c r="F35" s="6">
        <v>80368.67</v>
      </c>
      <c r="G35" t="s">
        <v>44</v>
      </c>
      <c r="H35" s="6" t="s">
        <v>45</v>
      </c>
      <c r="J35" s="12"/>
      <c r="L35"/>
      <c r="AJ35" s="6" t="s">
        <v>8</v>
      </c>
      <c r="AK35" s="6" t="s">
        <v>37</v>
      </c>
    </row>
    <row r="36" spans="2:37" x14ac:dyDescent="0.25">
      <c r="B36" s="2" t="s">
        <v>10</v>
      </c>
      <c r="C36" s="6" t="s">
        <v>11</v>
      </c>
      <c r="D36" s="6">
        <v>123.79</v>
      </c>
      <c r="E36" t="s">
        <v>12</v>
      </c>
      <c r="F36" s="6">
        <v>80368.67</v>
      </c>
      <c r="G36" t="s">
        <v>46</v>
      </c>
      <c r="H36" s="6" t="s">
        <v>47</v>
      </c>
      <c r="J36" s="12"/>
      <c r="L36"/>
      <c r="Q36" t="s">
        <v>184</v>
      </c>
      <c r="AJ36" s="6" t="s">
        <v>8</v>
      </c>
      <c r="AK36" s="6" t="s">
        <v>12</v>
      </c>
    </row>
    <row r="37" spans="2:37" x14ac:dyDescent="0.25">
      <c r="B37" s="2" t="s">
        <v>10</v>
      </c>
      <c r="C37" s="6" t="s">
        <v>11</v>
      </c>
      <c r="D37" s="6">
        <v>123.79</v>
      </c>
      <c r="E37" t="s">
        <v>12</v>
      </c>
      <c r="F37" s="6">
        <v>80368.67</v>
      </c>
      <c r="G37" t="s">
        <v>48</v>
      </c>
      <c r="H37" s="6" t="s">
        <v>47</v>
      </c>
      <c r="J37" s="12"/>
      <c r="L37"/>
      <c r="AH37" s="88" t="s">
        <v>149</v>
      </c>
      <c r="AI37" s="89"/>
      <c r="AJ37" s="6" t="s">
        <v>8</v>
      </c>
      <c r="AK37" s="6" t="s">
        <v>40</v>
      </c>
    </row>
    <row r="38" spans="2:37" x14ac:dyDescent="0.25">
      <c r="B38" s="2" t="s">
        <v>13</v>
      </c>
      <c r="C38" s="6" t="s">
        <v>14</v>
      </c>
      <c r="D38" s="6">
        <v>55</v>
      </c>
      <c r="E38" t="s">
        <v>15</v>
      </c>
      <c r="F38" s="6">
        <v>71155.7</v>
      </c>
      <c r="G38" t="s">
        <v>49</v>
      </c>
      <c r="H38" s="6" t="s">
        <v>50</v>
      </c>
      <c r="J38" s="12"/>
      <c r="L38"/>
      <c r="AH38" s="33" t="s">
        <v>26</v>
      </c>
      <c r="AI38" s="6" t="s">
        <v>45</v>
      </c>
      <c r="AJ38" s="6" t="s">
        <v>11</v>
      </c>
      <c r="AK38" s="6" t="s">
        <v>42</v>
      </c>
    </row>
    <row r="39" spans="2:37" x14ac:dyDescent="0.25">
      <c r="B39" s="2" t="s">
        <v>13</v>
      </c>
      <c r="C39" s="6" t="s">
        <v>14</v>
      </c>
      <c r="D39" s="6">
        <v>55</v>
      </c>
      <c r="E39" t="s">
        <v>15</v>
      </c>
      <c r="F39" s="6">
        <v>71155.7</v>
      </c>
      <c r="G39" t="s">
        <v>51</v>
      </c>
      <c r="H39" s="6" t="s">
        <v>50</v>
      </c>
      <c r="J39" s="12"/>
      <c r="L39"/>
      <c r="S39" s="76" t="s">
        <v>152</v>
      </c>
      <c r="T39" s="77" t="s">
        <v>191</v>
      </c>
      <c r="AH39" s="6" t="s">
        <v>29</v>
      </c>
      <c r="AI39" s="6" t="s">
        <v>47</v>
      </c>
      <c r="AJ39" s="6" t="s">
        <v>11</v>
      </c>
      <c r="AK39" s="6" t="s">
        <v>37</v>
      </c>
    </row>
    <row r="40" spans="2:37" x14ac:dyDescent="0.25">
      <c r="B40" s="2" t="s">
        <v>13</v>
      </c>
      <c r="C40" s="6" t="s">
        <v>14</v>
      </c>
      <c r="D40" s="6">
        <v>55</v>
      </c>
      <c r="E40" t="s">
        <v>15</v>
      </c>
      <c r="F40" s="6">
        <v>71155.7</v>
      </c>
      <c r="G40" t="s">
        <v>52</v>
      </c>
      <c r="H40" s="6" t="s">
        <v>53</v>
      </c>
      <c r="J40" s="12"/>
      <c r="L40"/>
      <c r="S40" s="70" t="s">
        <v>190</v>
      </c>
      <c r="T40" s="74" t="s">
        <v>9</v>
      </c>
      <c r="AH40" s="6" t="s">
        <v>31</v>
      </c>
      <c r="AI40" s="6" t="s">
        <v>50</v>
      </c>
      <c r="AJ40" s="6" t="s">
        <v>11</v>
      </c>
      <c r="AK40" s="6" t="s">
        <v>45</v>
      </c>
    </row>
    <row r="41" spans="2:37" x14ac:dyDescent="0.25">
      <c r="B41" s="2" t="s">
        <v>13</v>
      </c>
      <c r="C41" s="6" t="s">
        <v>14</v>
      </c>
      <c r="D41" s="6">
        <v>55</v>
      </c>
      <c r="E41" t="s">
        <v>15</v>
      </c>
      <c r="F41" s="6">
        <v>71155.7</v>
      </c>
      <c r="G41" t="s">
        <v>54</v>
      </c>
      <c r="H41" s="6" t="s">
        <v>53</v>
      </c>
      <c r="J41" s="12"/>
      <c r="L41"/>
      <c r="S41" s="71" t="s">
        <v>153</v>
      </c>
      <c r="T41" s="72" t="s">
        <v>15</v>
      </c>
      <c r="AH41" s="6" t="s">
        <v>34</v>
      </c>
      <c r="AI41" s="6" t="s">
        <v>53</v>
      </c>
      <c r="AJ41" s="6" t="s">
        <v>11</v>
      </c>
      <c r="AK41" s="6" t="s">
        <v>47</v>
      </c>
    </row>
    <row r="42" spans="2:37" x14ac:dyDescent="0.25">
      <c r="B42" s="2" t="s">
        <v>13</v>
      </c>
      <c r="C42" s="6" t="s">
        <v>14</v>
      </c>
      <c r="D42" s="6">
        <v>55</v>
      </c>
      <c r="E42" t="s">
        <v>15</v>
      </c>
      <c r="F42" s="6">
        <v>71155.7</v>
      </c>
      <c r="G42" t="s">
        <v>55</v>
      </c>
      <c r="H42" s="6" t="s">
        <v>56</v>
      </c>
      <c r="J42" s="12"/>
      <c r="L42"/>
      <c r="S42" s="67" t="s">
        <v>154</v>
      </c>
      <c r="T42" s="78" t="s">
        <v>12</v>
      </c>
      <c r="AH42" s="6" t="s">
        <v>37</v>
      </c>
      <c r="AI42" s="6" t="s">
        <v>56</v>
      </c>
      <c r="AJ42" s="6" t="s">
        <v>14</v>
      </c>
      <c r="AK42" s="6" t="s">
        <v>50</v>
      </c>
    </row>
    <row r="43" spans="2:37" x14ac:dyDescent="0.25">
      <c r="B43" s="2" t="s">
        <v>13</v>
      </c>
      <c r="C43" s="6" t="s">
        <v>14</v>
      </c>
      <c r="D43" s="6">
        <v>55</v>
      </c>
      <c r="E43" t="s">
        <v>15</v>
      </c>
      <c r="F43" s="6">
        <v>71155.7</v>
      </c>
      <c r="G43" t="s">
        <v>57</v>
      </c>
      <c r="H43" s="6" t="s">
        <v>56</v>
      </c>
      <c r="J43" s="12"/>
      <c r="L43"/>
      <c r="S43" s="67" t="s">
        <v>17</v>
      </c>
      <c r="T43" s="68" t="s">
        <v>18</v>
      </c>
      <c r="AH43" s="6" t="s">
        <v>12</v>
      </c>
      <c r="AI43" s="6" t="s">
        <v>62</v>
      </c>
      <c r="AJ43" s="6" t="s">
        <v>14</v>
      </c>
      <c r="AK43" s="6" t="s">
        <v>53</v>
      </c>
    </row>
    <row r="44" spans="2:37" x14ac:dyDescent="0.25">
      <c r="B44" s="2" t="s">
        <v>13</v>
      </c>
      <c r="C44" s="6" t="s">
        <v>14</v>
      </c>
      <c r="D44" s="6">
        <v>55</v>
      </c>
      <c r="E44" t="s">
        <v>15</v>
      </c>
      <c r="F44" s="6">
        <v>71155.7</v>
      </c>
      <c r="G44" t="s">
        <v>58</v>
      </c>
      <c r="H44" s="6" t="s">
        <v>56</v>
      </c>
      <c r="J44" s="12"/>
      <c r="L44"/>
      <c r="AH44" s="6" t="s">
        <v>40</v>
      </c>
      <c r="AI44" s="6" t="s">
        <v>66</v>
      </c>
      <c r="AJ44" s="6" t="s">
        <v>14</v>
      </c>
      <c r="AK44" s="6" t="s">
        <v>56</v>
      </c>
    </row>
    <row r="45" spans="2:37" x14ac:dyDescent="0.25">
      <c r="B45" s="2" t="s">
        <v>13</v>
      </c>
      <c r="C45" s="6" t="s">
        <v>14</v>
      </c>
      <c r="D45" s="6">
        <v>55</v>
      </c>
      <c r="E45" t="s">
        <v>15</v>
      </c>
      <c r="F45" s="6">
        <v>71155.7</v>
      </c>
      <c r="G45" t="s">
        <v>59</v>
      </c>
      <c r="H45" s="6" t="s">
        <v>53</v>
      </c>
      <c r="J45" s="12"/>
      <c r="L45"/>
      <c r="V45" s="75" t="s">
        <v>192</v>
      </c>
      <c r="W45" s="76" t="s">
        <v>152</v>
      </c>
      <c r="X45" s="77" t="s">
        <v>191</v>
      </c>
      <c r="AH45" s="7" t="s">
        <v>42</v>
      </c>
      <c r="AI45" s="7" t="s">
        <v>70</v>
      </c>
      <c r="AJ45" s="6" t="s">
        <v>17</v>
      </c>
      <c r="AK45" s="6" t="s">
        <v>37</v>
      </c>
    </row>
    <row r="46" spans="2:37" x14ac:dyDescent="0.25">
      <c r="B46" s="2" t="s">
        <v>16</v>
      </c>
      <c r="C46" s="6" t="s">
        <v>17</v>
      </c>
      <c r="D46" s="6">
        <v>49.3</v>
      </c>
      <c r="E46" t="s">
        <v>18</v>
      </c>
      <c r="F46" s="6">
        <v>47234.97</v>
      </c>
      <c r="G46" t="s">
        <v>60</v>
      </c>
      <c r="H46" s="6" t="s">
        <v>37</v>
      </c>
      <c r="J46" s="12"/>
      <c r="L46"/>
      <c r="V46" s="69" t="s">
        <v>131</v>
      </c>
      <c r="W46" s="70" t="s">
        <v>190</v>
      </c>
      <c r="X46" s="74" t="s">
        <v>9</v>
      </c>
      <c r="AJ46" s="6" t="s">
        <v>17</v>
      </c>
      <c r="AK46" s="6" t="s">
        <v>62</v>
      </c>
    </row>
    <row r="47" spans="2:37" x14ac:dyDescent="0.25">
      <c r="B47" s="2" t="s">
        <v>16</v>
      </c>
      <c r="C47" s="6" t="s">
        <v>17</v>
      </c>
      <c r="D47" s="6">
        <v>49.3</v>
      </c>
      <c r="E47" t="s">
        <v>18</v>
      </c>
      <c r="F47" s="6">
        <v>47234.97</v>
      </c>
      <c r="G47" t="s">
        <v>61</v>
      </c>
      <c r="H47" s="6" t="s">
        <v>62</v>
      </c>
      <c r="J47" s="12"/>
      <c r="L47"/>
      <c r="V47" s="66" t="s">
        <v>10</v>
      </c>
      <c r="W47" s="67" t="s">
        <v>154</v>
      </c>
      <c r="X47" s="78" t="s">
        <v>12</v>
      </c>
      <c r="AJ47" s="6" t="s">
        <v>17</v>
      </c>
      <c r="AK47" s="6" t="s">
        <v>66</v>
      </c>
    </row>
    <row r="48" spans="2:37" x14ac:dyDescent="0.25">
      <c r="B48" s="2" t="s">
        <v>16</v>
      </c>
      <c r="C48" s="6" t="s">
        <v>17</v>
      </c>
      <c r="D48" s="6">
        <v>49.3</v>
      </c>
      <c r="E48" t="s">
        <v>18</v>
      </c>
      <c r="F48" s="6">
        <v>47234.97</v>
      </c>
      <c r="G48" t="s">
        <v>63</v>
      </c>
      <c r="H48" s="6" t="s">
        <v>62</v>
      </c>
      <c r="J48" s="12"/>
      <c r="L48"/>
      <c r="V48" s="73" t="s">
        <v>189</v>
      </c>
      <c r="W48" s="71" t="s">
        <v>153</v>
      </c>
      <c r="X48" s="72" t="s">
        <v>15</v>
      </c>
      <c r="AJ48" s="6" t="s">
        <v>17</v>
      </c>
      <c r="AK48" s="6" t="s">
        <v>70</v>
      </c>
    </row>
    <row r="49" spans="2:37" x14ac:dyDescent="0.25">
      <c r="B49" s="2" t="s">
        <v>16</v>
      </c>
      <c r="C49" s="6" t="s">
        <v>17</v>
      </c>
      <c r="D49" s="6">
        <v>49.3</v>
      </c>
      <c r="E49" t="s">
        <v>18</v>
      </c>
      <c r="F49" s="6">
        <v>47234.97</v>
      </c>
      <c r="G49" t="s">
        <v>64</v>
      </c>
      <c r="H49" s="6" t="s">
        <v>62</v>
      </c>
      <c r="J49" s="12"/>
      <c r="L49"/>
      <c r="V49" s="66" t="s">
        <v>188</v>
      </c>
      <c r="W49" s="67" t="s">
        <v>17</v>
      </c>
      <c r="X49" s="68" t="s">
        <v>18</v>
      </c>
      <c r="AJ49" s="6" t="s">
        <v>17</v>
      </c>
      <c r="AK49" s="6" t="s">
        <v>40</v>
      </c>
    </row>
    <row r="50" spans="2:37" x14ac:dyDescent="0.25">
      <c r="B50" s="2" t="s">
        <v>16</v>
      </c>
      <c r="C50" s="6" t="s">
        <v>17</v>
      </c>
      <c r="D50" s="6">
        <v>49.3</v>
      </c>
      <c r="E50" t="s">
        <v>18</v>
      </c>
      <c r="F50" s="6">
        <v>47234.97</v>
      </c>
      <c r="G50" t="s">
        <v>65</v>
      </c>
      <c r="H50" s="6" t="s">
        <v>66</v>
      </c>
      <c r="J50" s="12"/>
      <c r="L50"/>
    </row>
    <row r="51" spans="2:37" x14ac:dyDescent="0.25">
      <c r="B51" s="2" t="s">
        <v>16</v>
      </c>
      <c r="C51" s="6" t="s">
        <v>17</v>
      </c>
      <c r="D51" s="6">
        <v>49.3</v>
      </c>
      <c r="E51" t="s">
        <v>18</v>
      </c>
      <c r="F51" s="6">
        <v>47234.97</v>
      </c>
      <c r="G51" t="s">
        <v>67</v>
      </c>
      <c r="H51" s="6" t="s">
        <v>66</v>
      </c>
      <c r="J51" s="12"/>
      <c r="L51"/>
    </row>
    <row r="52" spans="2:37" x14ac:dyDescent="0.25">
      <c r="B52" s="2" t="s">
        <v>16</v>
      </c>
      <c r="C52" s="6" t="s">
        <v>17</v>
      </c>
      <c r="D52" s="6">
        <v>49.3</v>
      </c>
      <c r="E52" t="s">
        <v>18</v>
      </c>
      <c r="F52" s="6">
        <v>47234.97</v>
      </c>
      <c r="G52" t="s">
        <v>68</v>
      </c>
      <c r="H52" s="6" t="s">
        <v>66</v>
      </c>
      <c r="J52" s="12"/>
      <c r="L52"/>
    </row>
    <row r="53" spans="2:37" x14ac:dyDescent="0.25">
      <c r="B53" s="2" t="s">
        <v>16</v>
      </c>
      <c r="C53" s="6" t="s">
        <v>17</v>
      </c>
      <c r="D53" s="6">
        <v>49.3</v>
      </c>
      <c r="E53" t="s">
        <v>18</v>
      </c>
      <c r="F53" s="6">
        <v>47234.97</v>
      </c>
      <c r="G53" t="s">
        <v>69</v>
      </c>
      <c r="H53" s="6" t="s">
        <v>70</v>
      </c>
      <c r="J53" s="12"/>
      <c r="L53"/>
      <c r="V53" t="s">
        <v>150</v>
      </c>
      <c r="AA53" t="s">
        <v>151</v>
      </c>
    </row>
    <row r="54" spans="2:37" x14ac:dyDescent="0.25">
      <c r="B54" s="2" t="s">
        <v>16</v>
      </c>
      <c r="C54" s="6" t="s">
        <v>17</v>
      </c>
      <c r="D54" s="6">
        <v>49.3</v>
      </c>
      <c r="E54" t="s">
        <v>18</v>
      </c>
      <c r="F54" s="6">
        <v>47234.97</v>
      </c>
      <c r="G54" t="s">
        <v>71</v>
      </c>
      <c r="H54" s="6" t="s">
        <v>70</v>
      </c>
      <c r="J54" s="12"/>
      <c r="L54"/>
      <c r="V54" s="6" t="s">
        <v>26</v>
      </c>
      <c r="AA54" s="6" t="s">
        <v>50</v>
      </c>
    </row>
    <row r="55" spans="2:37" ht="15" customHeight="1" x14ac:dyDescent="0.25">
      <c r="B55" s="2" t="s">
        <v>16</v>
      </c>
      <c r="C55" s="6" t="s">
        <v>17</v>
      </c>
      <c r="D55" s="6">
        <v>49.3</v>
      </c>
      <c r="E55" t="s">
        <v>18</v>
      </c>
      <c r="F55" s="6">
        <v>47234.97</v>
      </c>
      <c r="G55" t="s">
        <v>72</v>
      </c>
      <c r="H55" s="6" t="s">
        <v>40</v>
      </c>
      <c r="J55" s="12"/>
      <c r="L55"/>
      <c r="V55" s="6" t="s">
        <v>26</v>
      </c>
      <c r="AA55" s="6" t="s">
        <v>53</v>
      </c>
    </row>
    <row r="56" spans="2:37" x14ac:dyDescent="0.25">
      <c r="B56" s="2" t="s">
        <v>16</v>
      </c>
      <c r="C56" s="6" t="s">
        <v>17</v>
      </c>
      <c r="D56" s="6">
        <v>49.3</v>
      </c>
      <c r="E56" t="s">
        <v>18</v>
      </c>
      <c r="F56" s="6">
        <v>47234.97</v>
      </c>
      <c r="G56" t="s">
        <v>73</v>
      </c>
      <c r="H56" s="6" t="s">
        <v>40</v>
      </c>
      <c r="J56" s="12"/>
      <c r="L56"/>
      <c r="V56" s="6" t="s">
        <v>29</v>
      </c>
      <c r="AA56" s="6" t="s">
        <v>56</v>
      </c>
    </row>
    <row r="57" spans="2:37" x14ac:dyDescent="0.25">
      <c r="B57" s="2" t="s">
        <v>16</v>
      </c>
      <c r="C57" s="6" t="s">
        <v>17</v>
      </c>
      <c r="D57" s="6">
        <v>49.3</v>
      </c>
      <c r="E57" t="s">
        <v>18</v>
      </c>
      <c r="F57" s="6">
        <v>47234.97</v>
      </c>
      <c r="G57" t="s">
        <v>74</v>
      </c>
      <c r="H57" s="6" t="s">
        <v>62</v>
      </c>
      <c r="J57" s="12"/>
      <c r="L57"/>
      <c r="V57" s="6" t="s">
        <v>31</v>
      </c>
    </row>
    <row r="58" spans="2:37" x14ac:dyDescent="0.25">
      <c r="B58" s="2" t="s">
        <v>19</v>
      </c>
      <c r="C58" s="6" t="s">
        <v>14</v>
      </c>
      <c r="D58" s="6">
        <v>34</v>
      </c>
      <c r="E58" t="s">
        <v>15</v>
      </c>
      <c r="F58" s="6">
        <v>46825.48</v>
      </c>
      <c r="G58" t="s">
        <v>49</v>
      </c>
      <c r="H58" s="6" t="s">
        <v>50</v>
      </c>
      <c r="J58" s="12"/>
      <c r="L58"/>
      <c r="V58" s="6" t="s">
        <v>31</v>
      </c>
    </row>
    <row r="59" spans="2:37" x14ac:dyDescent="0.25">
      <c r="B59" s="2" t="s">
        <v>19</v>
      </c>
      <c r="C59" s="6" t="s">
        <v>14</v>
      </c>
      <c r="D59" s="6">
        <v>34</v>
      </c>
      <c r="E59" t="s">
        <v>15</v>
      </c>
      <c r="F59" s="6">
        <v>46825.48</v>
      </c>
      <c r="G59" t="s">
        <v>51</v>
      </c>
      <c r="H59" s="6" t="s">
        <v>50</v>
      </c>
      <c r="J59" s="12"/>
      <c r="L59"/>
      <c r="V59" s="6" t="s">
        <v>34</v>
      </c>
    </row>
    <row r="60" spans="2:37" x14ac:dyDescent="0.25">
      <c r="B60" s="2" t="s">
        <v>19</v>
      </c>
      <c r="C60" s="6" t="s">
        <v>14</v>
      </c>
      <c r="D60" s="6">
        <v>34</v>
      </c>
      <c r="E60" t="s">
        <v>15</v>
      </c>
      <c r="F60" s="6">
        <v>46825.48</v>
      </c>
      <c r="G60" t="s">
        <v>52</v>
      </c>
      <c r="H60" s="6" t="s">
        <v>53</v>
      </c>
      <c r="J60" s="12"/>
      <c r="L60"/>
      <c r="V60" s="6" t="s">
        <v>31</v>
      </c>
    </row>
    <row r="61" spans="2:37" x14ac:dyDescent="0.25">
      <c r="B61" s="2" t="s">
        <v>19</v>
      </c>
      <c r="C61" s="6" t="s">
        <v>14</v>
      </c>
      <c r="D61" s="6">
        <v>34</v>
      </c>
      <c r="E61" t="s">
        <v>15</v>
      </c>
      <c r="F61" s="6">
        <v>46825.48</v>
      </c>
      <c r="G61" t="s">
        <v>54</v>
      </c>
      <c r="H61" s="6" t="s">
        <v>53</v>
      </c>
      <c r="J61" s="12"/>
      <c r="L61"/>
      <c r="V61" s="6" t="s">
        <v>37</v>
      </c>
    </row>
    <row r="62" spans="2:37" x14ac:dyDescent="0.25">
      <c r="B62" s="2" t="s">
        <v>19</v>
      </c>
      <c r="C62" s="6" t="s">
        <v>14</v>
      </c>
      <c r="D62" s="6">
        <v>34</v>
      </c>
      <c r="E62" t="s">
        <v>15</v>
      </c>
      <c r="F62" s="6">
        <v>46825.48</v>
      </c>
      <c r="G62" t="s">
        <v>55</v>
      </c>
      <c r="H62" s="6" t="s">
        <v>56</v>
      </c>
      <c r="J62" s="12"/>
      <c r="L62"/>
      <c r="V62" s="6" t="s">
        <v>12</v>
      </c>
    </row>
    <row r="63" spans="2:37" x14ac:dyDescent="0.25">
      <c r="B63" s="2" t="s">
        <v>19</v>
      </c>
      <c r="C63" s="6" t="s">
        <v>14</v>
      </c>
      <c r="D63" s="6">
        <v>34</v>
      </c>
      <c r="E63" t="s">
        <v>15</v>
      </c>
      <c r="F63" s="6">
        <v>46825.48</v>
      </c>
      <c r="G63" t="s">
        <v>57</v>
      </c>
      <c r="H63" s="6" t="s">
        <v>56</v>
      </c>
      <c r="J63" s="12"/>
      <c r="L63"/>
      <c r="V63" s="6" t="s">
        <v>40</v>
      </c>
    </row>
    <row r="64" spans="2:37" x14ac:dyDescent="0.25">
      <c r="B64" s="2" t="s">
        <v>19</v>
      </c>
      <c r="C64" s="6" t="s">
        <v>14</v>
      </c>
      <c r="D64" s="6">
        <v>34</v>
      </c>
      <c r="E64" t="s">
        <v>15</v>
      </c>
      <c r="F64" s="6">
        <v>46825.48</v>
      </c>
      <c r="G64" t="s">
        <v>58</v>
      </c>
      <c r="H64" s="6" t="s">
        <v>56</v>
      </c>
      <c r="J64" s="12"/>
      <c r="L64"/>
    </row>
    <row r="65" spans="2:32" ht="15" customHeight="1" x14ac:dyDescent="0.25">
      <c r="B65" s="4" t="s">
        <v>19</v>
      </c>
      <c r="C65" s="7" t="s">
        <v>14</v>
      </c>
      <c r="D65" s="7">
        <v>34</v>
      </c>
      <c r="E65" s="1" t="s">
        <v>15</v>
      </c>
      <c r="F65" s="7">
        <v>46825.48</v>
      </c>
      <c r="G65" s="1" t="s">
        <v>59</v>
      </c>
      <c r="H65" s="7" t="s">
        <v>53</v>
      </c>
      <c r="J65" s="12"/>
      <c r="L65"/>
    </row>
    <row r="66" spans="2:32" x14ac:dyDescent="0.25">
      <c r="AD66" s="40"/>
      <c r="AE66" s="40" t="s">
        <v>149</v>
      </c>
      <c r="AF66" t="s">
        <v>182</v>
      </c>
    </row>
    <row r="67" spans="2:32" ht="15" customHeight="1" x14ac:dyDescent="0.25">
      <c r="L67" t="s">
        <v>138</v>
      </c>
      <c r="AE67" s="37" t="s">
        <v>26</v>
      </c>
      <c r="AF67">
        <v>1</v>
      </c>
    </row>
    <row r="68" spans="2:32" x14ac:dyDescent="0.25">
      <c r="L68" t="s">
        <v>139</v>
      </c>
      <c r="AE68" s="35" t="s">
        <v>29</v>
      </c>
      <c r="AF68">
        <v>1</v>
      </c>
    </row>
    <row r="69" spans="2:32" ht="15" customHeight="1" x14ac:dyDescent="0.25">
      <c r="L69" t="s">
        <v>140</v>
      </c>
      <c r="AE69" s="35" t="s">
        <v>31</v>
      </c>
      <c r="AF69">
        <v>1</v>
      </c>
    </row>
    <row r="70" spans="2:32" x14ac:dyDescent="0.25">
      <c r="B70" s="23" t="s">
        <v>133</v>
      </c>
      <c r="C70" t="s">
        <v>135</v>
      </c>
      <c r="D70" t="s">
        <v>136</v>
      </c>
      <c r="F70" t="s">
        <v>133</v>
      </c>
      <c r="G70" t="s">
        <v>135</v>
      </c>
      <c r="H70" t="s">
        <v>136</v>
      </c>
      <c r="I70" t="s">
        <v>137</v>
      </c>
      <c r="L70" t="s">
        <v>141</v>
      </c>
      <c r="AE70" s="35" t="s">
        <v>34</v>
      </c>
      <c r="AF70">
        <v>1</v>
      </c>
    </row>
    <row r="71" spans="2:32" x14ac:dyDescent="0.25">
      <c r="B71" s="24" t="s">
        <v>9</v>
      </c>
      <c r="C71">
        <v>263.5</v>
      </c>
      <c r="D71">
        <v>4.5</v>
      </c>
      <c r="F71" t="s">
        <v>19</v>
      </c>
      <c r="G71">
        <v>34</v>
      </c>
      <c r="H71">
        <v>2.5</v>
      </c>
      <c r="I71">
        <f>G71-H71</f>
        <v>31.5</v>
      </c>
      <c r="AE71" s="35" t="s">
        <v>37</v>
      </c>
      <c r="AF71">
        <v>1</v>
      </c>
    </row>
    <row r="72" spans="2:32" x14ac:dyDescent="0.25">
      <c r="B72" s="24" t="s">
        <v>18</v>
      </c>
      <c r="C72">
        <v>49.3</v>
      </c>
      <c r="D72">
        <v>9.1999999999999993</v>
      </c>
      <c r="F72" t="s">
        <v>7</v>
      </c>
      <c r="G72">
        <v>263.5</v>
      </c>
      <c r="H72">
        <v>4.5</v>
      </c>
      <c r="I72">
        <f>G72-H72</f>
        <v>259</v>
      </c>
      <c r="AE72" s="35" t="s">
        <v>12</v>
      </c>
      <c r="AF72">
        <v>1</v>
      </c>
    </row>
    <row r="73" spans="2:32" x14ac:dyDescent="0.25">
      <c r="B73" s="24" t="s">
        <v>15</v>
      </c>
      <c r="C73">
        <v>55</v>
      </c>
      <c r="D73">
        <v>2.5</v>
      </c>
      <c r="F73" t="s">
        <v>13</v>
      </c>
      <c r="G73">
        <v>55</v>
      </c>
      <c r="H73">
        <v>2.5</v>
      </c>
      <c r="I73">
        <f>G73-H73</f>
        <v>52.5</v>
      </c>
      <c r="AE73" s="36" t="s">
        <v>40</v>
      </c>
      <c r="AF73">
        <v>1</v>
      </c>
    </row>
    <row r="74" spans="2:32" ht="15" customHeight="1" x14ac:dyDescent="0.25">
      <c r="B74" s="24" t="s">
        <v>12</v>
      </c>
      <c r="C74">
        <v>123.79</v>
      </c>
      <c r="D74">
        <v>7.45</v>
      </c>
      <c r="F74" t="s">
        <v>16</v>
      </c>
      <c r="G74">
        <v>49.3</v>
      </c>
      <c r="H74">
        <v>9.1999999999999993</v>
      </c>
      <c r="I74">
        <f>G74-H74</f>
        <v>40.099999999999994</v>
      </c>
      <c r="AE74" s="35" t="s">
        <v>50</v>
      </c>
      <c r="AF74">
        <v>1</v>
      </c>
    </row>
    <row r="75" spans="2:32" x14ac:dyDescent="0.25">
      <c r="B75" s="24" t="s">
        <v>134</v>
      </c>
      <c r="C75">
        <v>263.5</v>
      </c>
      <c r="D75">
        <v>2.5</v>
      </c>
      <c r="F75" t="s">
        <v>10</v>
      </c>
      <c r="G75">
        <v>123.79</v>
      </c>
      <c r="H75">
        <v>7.45</v>
      </c>
      <c r="I75">
        <f>G75-H75</f>
        <v>116.34</v>
      </c>
      <c r="AE75" s="35" t="s">
        <v>53</v>
      </c>
      <c r="AF75">
        <v>1</v>
      </c>
    </row>
    <row r="76" spans="2:32" x14ac:dyDescent="0.25">
      <c r="S76" s="40" t="s">
        <v>181</v>
      </c>
      <c r="T76" s="60"/>
      <c r="U76" s="60" t="s">
        <v>152</v>
      </c>
      <c r="AE76" s="35" t="s">
        <v>56</v>
      </c>
      <c r="AF76">
        <v>1</v>
      </c>
    </row>
    <row r="77" spans="2:32" x14ac:dyDescent="0.25">
      <c r="S77" s="6" t="s">
        <v>9</v>
      </c>
      <c r="T77" s="6"/>
      <c r="U77" s="6" t="s">
        <v>8</v>
      </c>
      <c r="AE77" s="33" t="s">
        <v>42</v>
      </c>
      <c r="AF77">
        <v>1</v>
      </c>
    </row>
    <row r="78" spans="2:32" x14ac:dyDescent="0.25">
      <c r="R78" s="6" t="s">
        <v>15</v>
      </c>
      <c r="S78" s="6" t="s">
        <v>15</v>
      </c>
      <c r="T78" s="6"/>
      <c r="U78" s="6" t="s">
        <v>14</v>
      </c>
      <c r="AE78" s="35" t="s">
        <v>37</v>
      </c>
      <c r="AF78">
        <v>1</v>
      </c>
    </row>
    <row r="79" spans="2:32" x14ac:dyDescent="0.25">
      <c r="S79" s="6" t="s">
        <v>12</v>
      </c>
      <c r="T79" s="6"/>
      <c r="U79" s="6" t="s">
        <v>11</v>
      </c>
      <c r="AE79" s="6" t="s">
        <v>45</v>
      </c>
      <c r="AF79">
        <v>1</v>
      </c>
    </row>
    <row r="80" spans="2:32" x14ac:dyDescent="0.25">
      <c r="F80" s="12"/>
      <c r="L80"/>
      <c r="S80" s="7" t="s">
        <v>18</v>
      </c>
      <c r="T80" s="6"/>
      <c r="U80" s="6" t="s">
        <v>17</v>
      </c>
      <c r="AE80" s="7" t="s">
        <v>47</v>
      </c>
      <c r="AF80">
        <v>1</v>
      </c>
    </row>
    <row r="81" spans="6:32" x14ac:dyDescent="0.25">
      <c r="F81" s="12"/>
      <c r="L81"/>
      <c r="AE81" s="33" t="s">
        <v>62</v>
      </c>
      <c r="AF81">
        <v>1</v>
      </c>
    </row>
    <row r="82" spans="6:32" x14ac:dyDescent="0.25">
      <c r="F82" s="12"/>
      <c r="L82"/>
      <c r="AE82" s="6" t="s">
        <v>66</v>
      </c>
      <c r="AF82">
        <v>1</v>
      </c>
    </row>
    <row r="83" spans="6:32" x14ac:dyDescent="0.25">
      <c r="F83" s="12"/>
      <c r="L83"/>
      <c r="AE83" s="6" t="s">
        <v>70</v>
      </c>
      <c r="AF83">
        <v>1</v>
      </c>
    </row>
    <row r="84" spans="6:32" x14ac:dyDescent="0.25">
      <c r="F84" s="12"/>
      <c r="L84"/>
      <c r="Y84" s="40" t="s">
        <v>149</v>
      </c>
      <c r="Z84" s="40" t="s">
        <v>152</v>
      </c>
      <c r="AA84" s="60"/>
      <c r="AE84" s="35" t="s">
        <v>40</v>
      </c>
      <c r="AF84">
        <v>1</v>
      </c>
    </row>
    <row r="85" spans="6:32" x14ac:dyDescent="0.25">
      <c r="F85" s="12"/>
      <c r="L85"/>
      <c r="Y85" s="37" t="s">
        <v>26</v>
      </c>
      <c r="Z85" s="90" t="s">
        <v>8</v>
      </c>
      <c r="AA85" s="63"/>
      <c r="AE85" s="36" t="s">
        <v>37</v>
      </c>
      <c r="AF85">
        <v>1</v>
      </c>
    </row>
    <row r="86" spans="6:32" x14ac:dyDescent="0.25">
      <c r="F86" s="12"/>
      <c r="L86"/>
      <c r="Y86" s="35" t="s">
        <v>29</v>
      </c>
      <c r="Z86" s="91"/>
      <c r="AA86" s="63"/>
    </row>
    <row r="87" spans="6:32" x14ac:dyDescent="0.25">
      <c r="F87" s="12"/>
      <c r="L87"/>
      <c r="Y87" s="35" t="s">
        <v>31</v>
      </c>
      <c r="Z87" s="91"/>
      <c r="AA87" s="63"/>
    </row>
    <row r="88" spans="6:32" x14ac:dyDescent="0.25">
      <c r="F88" s="12"/>
      <c r="L88"/>
      <c r="Y88" s="35" t="s">
        <v>34</v>
      </c>
      <c r="Z88" s="91"/>
      <c r="AA88" s="63"/>
    </row>
    <row r="89" spans="6:32" x14ac:dyDescent="0.25">
      <c r="F89" s="12"/>
      <c r="L89"/>
      <c r="Y89" s="35" t="s">
        <v>37</v>
      </c>
      <c r="Z89" s="91"/>
      <c r="AA89" s="63"/>
    </row>
    <row r="90" spans="6:32" x14ac:dyDescent="0.25">
      <c r="F90" s="12"/>
      <c r="L90"/>
      <c r="Y90" s="35" t="s">
        <v>12</v>
      </c>
      <c r="Z90" s="91"/>
      <c r="AA90" s="63"/>
    </row>
    <row r="91" spans="6:32" x14ac:dyDescent="0.25">
      <c r="F91" s="12"/>
      <c r="L91"/>
      <c r="Y91" s="36" t="s">
        <v>40</v>
      </c>
      <c r="Z91" s="91"/>
      <c r="AA91" s="63"/>
    </row>
    <row r="92" spans="6:32" x14ac:dyDescent="0.25">
      <c r="F92" s="12"/>
      <c r="L92"/>
      <c r="Y92" s="35" t="s">
        <v>50</v>
      </c>
      <c r="Z92" s="92" t="s">
        <v>153</v>
      </c>
      <c r="AA92" s="64"/>
    </row>
    <row r="93" spans="6:32" x14ac:dyDescent="0.25">
      <c r="F93" s="12"/>
      <c r="L93"/>
      <c r="Y93" s="35" t="s">
        <v>53</v>
      </c>
      <c r="Z93" s="93"/>
      <c r="AA93" s="64"/>
    </row>
    <row r="94" spans="6:32" x14ac:dyDescent="0.25">
      <c r="F94" s="12"/>
      <c r="L94"/>
      <c r="Y94" s="35" t="s">
        <v>56</v>
      </c>
      <c r="Z94" s="93"/>
      <c r="AA94" s="64"/>
    </row>
    <row r="95" spans="6:32" x14ac:dyDescent="0.25">
      <c r="Y95" s="33" t="s">
        <v>42</v>
      </c>
      <c r="Z95" s="94" t="s">
        <v>154</v>
      </c>
      <c r="AA95" s="65"/>
    </row>
    <row r="96" spans="6:32" x14ac:dyDescent="0.25">
      <c r="Y96" s="35" t="s">
        <v>37</v>
      </c>
      <c r="Z96" s="95"/>
      <c r="AA96" s="65"/>
    </row>
    <row r="97" spans="25:27" x14ac:dyDescent="0.25">
      <c r="Y97" s="6" t="s">
        <v>45</v>
      </c>
      <c r="Z97" s="95"/>
      <c r="AA97" s="65"/>
    </row>
    <row r="98" spans="25:27" x14ac:dyDescent="0.25">
      <c r="Y98" s="7" t="s">
        <v>47</v>
      </c>
      <c r="Z98" s="95"/>
      <c r="AA98" s="65"/>
    </row>
    <row r="99" spans="25:27" x14ac:dyDescent="0.25">
      <c r="Y99" s="33" t="s">
        <v>62</v>
      </c>
      <c r="Z99" s="85" t="s">
        <v>17</v>
      </c>
      <c r="AA99" s="64"/>
    </row>
    <row r="100" spans="25:27" x14ac:dyDescent="0.25">
      <c r="Y100" s="6" t="s">
        <v>66</v>
      </c>
      <c r="Z100" s="86"/>
      <c r="AA100" s="64"/>
    </row>
    <row r="101" spans="25:27" x14ac:dyDescent="0.25">
      <c r="Y101" s="6" t="s">
        <v>70</v>
      </c>
      <c r="Z101" s="86"/>
      <c r="AA101" s="64"/>
    </row>
    <row r="102" spans="25:27" x14ac:dyDescent="0.25">
      <c r="Y102" s="35" t="s">
        <v>40</v>
      </c>
      <c r="Z102" s="86"/>
      <c r="AA102" s="64"/>
    </row>
    <row r="103" spans="25:27" x14ac:dyDescent="0.25">
      <c r="Y103" s="36" t="s">
        <v>37</v>
      </c>
      <c r="Z103" s="87"/>
      <c r="AA103" s="64"/>
    </row>
  </sheetData>
  <sortState xmlns:xlrd2="http://schemas.microsoft.com/office/spreadsheetml/2017/richdata2" ref="Y24:AA28">
    <sortCondition ref="Z24:Z28"/>
  </sortState>
  <mergeCells count="5">
    <mergeCell ref="Z99:Z103"/>
    <mergeCell ref="AH37:AI37"/>
    <mergeCell ref="Z85:Z91"/>
    <mergeCell ref="Z92:Z94"/>
    <mergeCell ref="Z95:Z98"/>
  </mergeCells>
  <pageMargins left="0.7" right="0.7" top="0.75" bottom="0.75" header="0.3" footer="0.3"/>
  <pageSetup paperSize="9" orientation="portrait" horizontalDpi="4294967293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071F-37BA-4C30-9446-6843AFA16B51}">
  <dimension ref="B1:AV67"/>
  <sheetViews>
    <sheetView topLeftCell="A16" zoomScale="85" zoomScaleNormal="85" workbookViewId="0">
      <selection activeCell="C16" sqref="C16:F20"/>
    </sheetView>
  </sheetViews>
  <sheetFormatPr defaultRowHeight="15" x14ac:dyDescent="0.25"/>
  <cols>
    <col min="2" max="2" width="12.42578125" customWidth="1"/>
    <col min="3" max="3" width="16.85546875" bestFit="1" customWidth="1"/>
    <col min="4" max="4" width="18" bestFit="1" customWidth="1"/>
    <col min="5" max="5" width="14" customWidth="1"/>
    <col min="6" max="6" width="20.5703125" bestFit="1" customWidth="1"/>
    <col min="7" max="7" width="12.5703125" bestFit="1" customWidth="1"/>
    <col min="8" max="8" width="15.42578125" bestFit="1" customWidth="1"/>
    <col min="9" max="9" width="19.140625" customWidth="1"/>
    <col min="10" max="10" width="24.42578125" customWidth="1"/>
    <col min="11" max="11" width="22.42578125" customWidth="1"/>
    <col min="12" max="12" width="25" customWidth="1"/>
    <col min="13" max="13" width="16.85546875" bestFit="1" customWidth="1"/>
    <col min="14" max="14" width="23.5703125" customWidth="1"/>
    <col min="15" max="15" width="17.5703125" bestFit="1" customWidth="1"/>
    <col min="16" max="16" width="17.5703125" customWidth="1"/>
    <col min="17" max="17" width="16.85546875" bestFit="1" customWidth="1"/>
    <col min="18" max="18" width="5.5703125" customWidth="1"/>
    <col min="19" max="19" width="5.7109375" customWidth="1"/>
    <col min="20" max="20" width="7.85546875" customWidth="1"/>
    <col min="22" max="22" width="16.85546875" bestFit="1" customWidth="1"/>
    <col min="25" max="25" width="24.5703125" customWidth="1"/>
    <col min="30" max="30" width="18.42578125" customWidth="1"/>
    <col min="31" max="31" width="14.140625" customWidth="1"/>
    <col min="32" max="32" width="16.42578125" customWidth="1"/>
    <col min="33" max="33" width="14.7109375" customWidth="1"/>
    <col min="34" max="34" width="16.5703125" customWidth="1"/>
    <col min="38" max="39" width="9.140625" customWidth="1"/>
    <col min="42" max="42" width="19.28515625" customWidth="1"/>
  </cols>
  <sheetData>
    <row r="1" spans="2:48" x14ac:dyDescent="0.25">
      <c r="B1" t="s">
        <v>75</v>
      </c>
      <c r="L1" s="47"/>
    </row>
    <row r="2" spans="2:48" x14ac:dyDescent="0.25">
      <c r="B2" t="s">
        <v>76</v>
      </c>
    </row>
    <row r="3" spans="2:48" ht="13.5" customHeight="1" x14ac:dyDescent="0.25">
      <c r="B3" t="s">
        <v>77</v>
      </c>
    </row>
    <row r="4" spans="2:48" x14ac:dyDescent="0.25">
      <c r="B4" t="s">
        <v>82</v>
      </c>
      <c r="J4" t="s">
        <v>171</v>
      </c>
      <c r="L4" t="s">
        <v>170</v>
      </c>
      <c r="N4" t="s">
        <v>204</v>
      </c>
      <c r="Z4">
        <v>1997</v>
      </c>
      <c r="AA4">
        <v>1998</v>
      </c>
    </row>
    <row r="5" spans="2:48" x14ac:dyDescent="0.25">
      <c r="B5" t="s">
        <v>83</v>
      </c>
      <c r="I5" s="9" t="s">
        <v>142</v>
      </c>
      <c r="J5" s="9" t="s">
        <v>143</v>
      </c>
      <c r="K5" s="9" t="s">
        <v>161</v>
      </c>
      <c r="L5" s="9" t="s">
        <v>160</v>
      </c>
      <c r="M5" s="9" t="s">
        <v>145</v>
      </c>
      <c r="N5" s="9" t="s">
        <v>146</v>
      </c>
      <c r="Y5" t="s">
        <v>85</v>
      </c>
      <c r="Z5">
        <v>1</v>
      </c>
      <c r="AA5">
        <v>4</v>
      </c>
    </row>
    <row r="6" spans="2:48" ht="12" customHeight="1" x14ac:dyDescent="0.25">
      <c r="B6" t="s">
        <v>84</v>
      </c>
      <c r="I6" s="6" t="s">
        <v>88</v>
      </c>
      <c r="J6" s="19">
        <v>70444.14</v>
      </c>
      <c r="K6" s="19">
        <v>74336.56</v>
      </c>
      <c r="L6" s="19">
        <f>(K6/5)*12</f>
        <v>178407.74400000001</v>
      </c>
      <c r="M6" s="104">
        <f>(L6-J6)/J6</f>
        <v>1.5326129895261693</v>
      </c>
      <c r="N6" s="22">
        <f>L6*(1+M6)</f>
        <v>451837.76988645951</v>
      </c>
      <c r="Q6" s="96"/>
      <c r="R6" s="97"/>
      <c r="S6" s="98"/>
      <c r="Y6" t="s">
        <v>86</v>
      </c>
      <c r="Z6">
        <v>2</v>
      </c>
      <c r="AA6">
        <v>1</v>
      </c>
    </row>
    <row r="7" spans="2:48" ht="15" customHeight="1" x14ac:dyDescent="0.25">
      <c r="B7" t="s">
        <v>78</v>
      </c>
      <c r="I7" s="6" t="s">
        <v>86</v>
      </c>
      <c r="J7" s="19">
        <v>108026.16</v>
      </c>
      <c r="K7" s="19">
        <v>76562.73</v>
      </c>
      <c r="L7" s="19">
        <f>(K7/5)*12</f>
        <v>183750.55199999997</v>
      </c>
      <c r="M7" s="105">
        <f>(L7-J7)/J7</f>
        <v>0.70098198436378711</v>
      </c>
      <c r="N7" s="22">
        <f>L7*(1+M7)</f>
        <v>312556.37856890116</v>
      </c>
      <c r="Q7" s="51" t="s">
        <v>156</v>
      </c>
      <c r="R7" s="52">
        <v>1997</v>
      </c>
      <c r="S7" s="51">
        <v>1998</v>
      </c>
      <c r="T7" s="50" t="s">
        <v>172</v>
      </c>
      <c r="Y7" t="s">
        <v>87</v>
      </c>
      <c r="Z7">
        <v>3</v>
      </c>
      <c r="AA7">
        <v>3</v>
      </c>
    </row>
    <row r="8" spans="2:48" x14ac:dyDescent="0.25">
      <c r="I8" s="6" t="s">
        <v>87</v>
      </c>
      <c r="J8" s="19">
        <v>93148.08</v>
      </c>
      <c r="K8" s="19">
        <v>63195.01</v>
      </c>
      <c r="L8" s="19">
        <f>(K8/5)*12</f>
        <v>151668.024</v>
      </c>
      <c r="M8" s="105">
        <f>(L8-J8)/J8</f>
        <v>0.62824637931345451</v>
      </c>
      <c r="N8" s="22">
        <f>L8*(1+M8)</f>
        <v>246952.91093562613</v>
      </c>
      <c r="Q8" s="54" t="s">
        <v>85</v>
      </c>
      <c r="R8" s="55">
        <v>1</v>
      </c>
      <c r="S8" s="54">
        <v>4</v>
      </c>
      <c r="T8" s="56" t="s">
        <v>175</v>
      </c>
      <c r="Y8" t="s">
        <v>88</v>
      </c>
      <c r="Z8">
        <v>4</v>
      </c>
      <c r="AA8">
        <v>2</v>
      </c>
    </row>
    <row r="9" spans="2:48" x14ac:dyDescent="0.25">
      <c r="I9" s="6" t="s">
        <v>89</v>
      </c>
      <c r="J9" s="19">
        <v>60471.199999999997</v>
      </c>
      <c r="K9" s="19">
        <v>48864.88</v>
      </c>
      <c r="L9" s="19">
        <f>(K9/5)*12</f>
        <v>117275.71199999998</v>
      </c>
      <c r="M9" s="105">
        <f>(L9-J9)/J9</f>
        <v>0.93936472238024038</v>
      </c>
      <c r="N9" s="22">
        <f>L9*(1+M9)</f>
        <v>227440.37864482499</v>
      </c>
      <c r="Q9" s="54" t="s">
        <v>86</v>
      </c>
      <c r="R9" s="55">
        <v>2</v>
      </c>
      <c r="S9" s="54">
        <v>1</v>
      </c>
      <c r="T9" s="56" t="s">
        <v>176</v>
      </c>
      <c r="Y9" t="s">
        <v>89</v>
      </c>
      <c r="Z9">
        <v>5</v>
      </c>
      <c r="AA9">
        <v>5</v>
      </c>
    </row>
    <row r="10" spans="2:48" x14ac:dyDescent="0.25">
      <c r="B10" s="8" t="s">
        <v>90</v>
      </c>
      <c r="C10" s="9" t="s">
        <v>94</v>
      </c>
      <c r="D10" s="10" t="s">
        <v>91</v>
      </c>
      <c r="E10" s="9" t="s">
        <v>92</v>
      </c>
      <c r="F10" s="11" t="s">
        <v>93</v>
      </c>
      <c r="I10" s="7" t="s">
        <v>85</v>
      </c>
      <c r="J10" s="20">
        <v>128809.79</v>
      </c>
      <c r="K10" s="20">
        <v>54135.94</v>
      </c>
      <c r="L10" s="20">
        <f>(K10/5)*12</f>
        <v>129926.25599999999</v>
      </c>
      <c r="M10" s="106">
        <f>(L10-J10)/J10</f>
        <v>8.6675554707448896E-3</v>
      </c>
      <c r="N10" s="26">
        <f>L10*(1+M10)</f>
        <v>131052.3990309862</v>
      </c>
      <c r="Q10" s="54" t="s">
        <v>87</v>
      </c>
      <c r="R10" s="55">
        <v>3</v>
      </c>
      <c r="S10" s="54">
        <v>3</v>
      </c>
      <c r="T10" s="56" t="s">
        <v>177</v>
      </c>
    </row>
    <row r="11" spans="2:48" x14ac:dyDescent="0.25">
      <c r="B11" s="2">
        <v>4</v>
      </c>
      <c r="C11" s="6" t="s">
        <v>85</v>
      </c>
      <c r="D11">
        <v>1997</v>
      </c>
      <c r="E11" s="19">
        <v>128809.79</v>
      </c>
      <c r="F11" s="3">
        <v>1</v>
      </c>
      <c r="Q11" s="54" t="s">
        <v>88</v>
      </c>
      <c r="R11" s="55">
        <v>4</v>
      </c>
      <c r="S11" s="54">
        <v>2</v>
      </c>
      <c r="T11" s="56" t="s">
        <v>178</v>
      </c>
    </row>
    <row r="12" spans="2:48" x14ac:dyDescent="0.25">
      <c r="B12" s="2">
        <v>3</v>
      </c>
      <c r="C12" s="6" t="s">
        <v>86</v>
      </c>
      <c r="D12">
        <v>1997</v>
      </c>
      <c r="E12" s="19">
        <v>108026.16</v>
      </c>
      <c r="F12" s="3">
        <v>2</v>
      </c>
      <c r="L12" s="103">
        <f>SUM(L6:L10)</f>
        <v>761028.28799999994</v>
      </c>
      <c r="N12" s="22">
        <f>SUM(N6:N10)</f>
        <v>1369839.837066798</v>
      </c>
      <c r="Q12" s="57" t="s">
        <v>89</v>
      </c>
      <c r="R12" s="58">
        <v>5</v>
      </c>
      <c r="S12" s="57">
        <v>5</v>
      </c>
      <c r="T12" s="59" t="s">
        <v>177</v>
      </c>
    </row>
    <row r="13" spans="2:48" x14ac:dyDescent="0.25">
      <c r="B13" s="2">
        <v>1</v>
      </c>
      <c r="C13" s="6" t="s">
        <v>87</v>
      </c>
      <c r="D13">
        <v>1997</v>
      </c>
      <c r="E13" s="19">
        <v>93148.08</v>
      </c>
      <c r="F13" s="3">
        <v>3</v>
      </c>
      <c r="J13" s="103">
        <f>SUM(J6:J10)</f>
        <v>460899.37</v>
      </c>
      <c r="K13" t="s">
        <v>163</v>
      </c>
      <c r="L13">
        <f>L12-J13/J13</f>
        <v>761027.28799999994</v>
      </c>
    </row>
    <row r="14" spans="2:48" x14ac:dyDescent="0.25">
      <c r="B14" s="2">
        <v>2</v>
      </c>
      <c r="C14" s="6" t="s">
        <v>88</v>
      </c>
      <c r="D14">
        <v>1997</v>
      </c>
      <c r="E14" s="19">
        <v>70444.14</v>
      </c>
      <c r="F14" s="3">
        <v>4</v>
      </c>
    </row>
    <row r="15" spans="2:48" x14ac:dyDescent="0.25">
      <c r="B15" s="2">
        <v>7</v>
      </c>
      <c r="C15" s="6" t="s">
        <v>89</v>
      </c>
      <c r="D15">
        <v>1997</v>
      </c>
      <c r="E15" s="19">
        <v>60471.199999999997</v>
      </c>
      <c r="F15" s="3">
        <v>5</v>
      </c>
      <c r="V15" s="9" t="s">
        <v>142</v>
      </c>
      <c r="W15" s="9" t="s">
        <v>143</v>
      </c>
      <c r="X15" s="9" t="s">
        <v>160</v>
      </c>
    </row>
    <row r="16" spans="2:48" x14ac:dyDescent="0.25">
      <c r="B16" s="2">
        <v>3</v>
      </c>
      <c r="C16" s="6" t="s">
        <v>86</v>
      </c>
      <c r="D16">
        <v>1998</v>
      </c>
      <c r="E16" s="19">
        <v>76562.73</v>
      </c>
      <c r="F16" s="3">
        <v>1</v>
      </c>
      <c r="N16" t="s">
        <v>173</v>
      </c>
      <c r="V16" s="6" t="s">
        <v>88</v>
      </c>
      <c r="W16" s="19">
        <v>70444.14</v>
      </c>
      <c r="X16" s="19">
        <v>178407.74400000001</v>
      </c>
      <c r="AV16">
        <v>5</v>
      </c>
    </row>
    <row r="17" spans="2:24" x14ac:dyDescent="0.25">
      <c r="B17" s="2">
        <v>2</v>
      </c>
      <c r="C17" s="6" t="s">
        <v>88</v>
      </c>
      <c r="D17">
        <v>1998</v>
      </c>
      <c r="E17" s="19">
        <v>74336.56</v>
      </c>
      <c r="F17" s="3">
        <v>2</v>
      </c>
      <c r="L17" s="39" t="s">
        <v>164</v>
      </c>
      <c r="M17" t="s">
        <v>180</v>
      </c>
      <c r="N17" t="s">
        <v>174</v>
      </c>
      <c r="V17" s="6" t="s">
        <v>86</v>
      </c>
      <c r="W17" s="19">
        <v>108026.16</v>
      </c>
      <c r="X17" s="19">
        <v>183750.55199999997</v>
      </c>
    </row>
    <row r="18" spans="2:24" x14ac:dyDescent="0.25">
      <c r="B18" s="2">
        <v>1</v>
      </c>
      <c r="C18" s="6" t="s">
        <v>87</v>
      </c>
      <c r="D18">
        <v>1998</v>
      </c>
      <c r="E18" s="19">
        <v>63195.01</v>
      </c>
      <c r="F18" s="3">
        <v>3</v>
      </c>
      <c r="V18" s="6" t="s">
        <v>87</v>
      </c>
      <c r="W18" s="19">
        <v>93148.08</v>
      </c>
      <c r="X18" s="19">
        <v>151668.024</v>
      </c>
    </row>
    <row r="19" spans="2:24" x14ac:dyDescent="0.25">
      <c r="B19" s="2">
        <v>4</v>
      </c>
      <c r="C19" s="6" t="s">
        <v>85</v>
      </c>
      <c r="D19">
        <v>1998</v>
      </c>
      <c r="E19" s="19">
        <v>54135.94</v>
      </c>
      <c r="F19" s="3">
        <v>4</v>
      </c>
      <c r="L19" s="39" t="s">
        <v>165</v>
      </c>
      <c r="V19" s="6" t="s">
        <v>89</v>
      </c>
      <c r="W19" s="19">
        <v>60471.199999999997</v>
      </c>
      <c r="X19" s="19">
        <v>117275.71199999998</v>
      </c>
    </row>
    <row r="20" spans="2:24" x14ac:dyDescent="0.25">
      <c r="B20" s="4">
        <v>7</v>
      </c>
      <c r="C20" s="7" t="s">
        <v>89</v>
      </c>
      <c r="D20" s="1">
        <v>1998</v>
      </c>
      <c r="E20" s="20">
        <v>48864.88</v>
      </c>
      <c r="F20" s="5">
        <v>5</v>
      </c>
      <c r="Q20" s="99">
        <v>1998</v>
      </c>
      <c r="R20" s="100"/>
      <c r="V20" s="7" t="s">
        <v>85</v>
      </c>
      <c r="W20" s="20">
        <v>128809.79</v>
      </c>
      <c r="X20" s="20">
        <v>129926.25599999999</v>
      </c>
    </row>
    <row r="21" spans="2:24" x14ac:dyDescent="0.25">
      <c r="L21" s="39" t="s">
        <v>166</v>
      </c>
      <c r="Q21" s="45" t="s">
        <v>156</v>
      </c>
      <c r="R21" s="46" t="s">
        <v>155</v>
      </c>
      <c r="V21" s="48"/>
      <c r="W21" s="48"/>
      <c r="X21" s="48"/>
    </row>
    <row r="22" spans="2:24" x14ac:dyDescent="0.25">
      <c r="H22" t="s">
        <v>124</v>
      </c>
      <c r="Q22" s="6" t="s">
        <v>86</v>
      </c>
      <c r="R22" s="3">
        <v>1</v>
      </c>
      <c r="V22" s="49"/>
      <c r="W22" s="49"/>
      <c r="X22" s="49"/>
    </row>
    <row r="23" spans="2:24" x14ac:dyDescent="0.25">
      <c r="B23" s="8" t="s">
        <v>90</v>
      </c>
      <c r="C23" s="9" t="s">
        <v>94</v>
      </c>
      <c r="D23" s="10" t="s">
        <v>95</v>
      </c>
      <c r="E23" s="9" t="s">
        <v>96</v>
      </c>
      <c r="F23" s="10" t="s">
        <v>159</v>
      </c>
      <c r="G23" s="9" t="s">
        <v>97</v>
      </c>
      <c r="H23" s="10" t="s">
        <v>98</v>
      </c>
      <c r="I23" s="9" t="s">
        <v>99</v>
      </c>
      <c r="J23" s="6" t="s">
        <v>162</v>
      </c>
      <c r="L23" s="39" t="s">
        <v>167</v>
      </c>
      <c r="Q23" s="6" t="s">
        <v>88</v>
      </c>
      <c r="R23" s="3">
        <v>2</v>
      </c>
      <c r="V23" s="49"/>
      <c r="W23" s="49"/>
      <c r="X23" s="49"/>
    </row>
    <row r="24" spans="2:24" x14ac:dyDescent="0.25">
      <c r="B24" s="2">
        <v>3</v>
      </c>
      <c r="C24" s="6" t="s">
        <v>86</v>
      </c>
      <c r="D24" s="21">
        <v>108026.16</v>
      </c>
      <c r="E24" s="6">
        <v>2</v>
      </c>
      <c r="F24" s="21">
        <v>76562.73</v>
      </c>
      <c r="G24" s="6">
        <v>1</v>
      </c>
      <c r="H24">
        <v>-29.13</v>
      </c>
      <c r="I24" s="22">
        <v>54263.26</v>
      </c>
      <c r="J24" s="12">
        <v>0.70098198436378711</v>
      </c>
      <c r="Q24" s="6" t="s">
        <v>87</v>
      </c>
      <c r="R24" s="3">
        <v>3</v>
      </c>
      <c r="V24" s="49"/>
      <c r="W24" s="49"/>
      <c r="X24" s="49"/>
    </row>
    <row r="25" spans="2:24" x14ac:dyDescent="0.25">
      <c r="B25" s="2">
        <v>2</v>
      </c>
      <c r="C25" s="6" t="s">
        <v>88</v>
      </c>
      <c r="D25" s="21">
        <v>70444.14</v>
      </c>
      <c r="E25" s="6">
        <v>4</v>
      </c>
      <c r="F25" s="21">
        <v>74336.56</v>
      </c>
      <c r="G25" s="6">
        <v>2</v>
      </c>
      <c r="H25">
        <v>5.53</v>
      </c>
      <c r="I25" s="22">
        <v>78444.06</v>
      </c>
      <c r="J25" s="12">
        <v>1.5326129895261693</v>
      </c>
      <c r="L25" s="39" t="s">
        <v>168</v>
      </c>
      <c r="Q25" s="6" t="s">
        <v>85</v>
      </c>
      <c r="R25" s="3">
        <v>4</v>
      </c>
      <c r="V25" s="49"/>
      <c r="W25" s="49"/>
      <c r="X25" s="49"/>
    </row>
    <row r="26" spans="2:24" x14ac:dyDescent="0.25">
      <c r="B26" s="2">
        <v>1</v>
      </c>
      <c r="C26" s="6" t="s">
        <v>87</v>
      </c>
      <c r="D26" s="21">
        <v>93148.08</v>
      </c>
      <c r="E26" s="6">
        <v>3</v>
      </c>
      <c r="F26" s="21">
        <v>63195.01</v>
      </c>
      <c r="G26" s="6">
        <v>3</v>
      </c>
      <c r="H26">
        <v>-32.159999999999997</v>
      </c>
      <c r="I26" s="22">
        <v>42873.77</v>
      </c>
      <c r="J26" s="12">
        <v>0.62824637931345451</v>
      </c>
      <c r="Q26" s="7" t="s">
        <v>89</v>
      </c>
      <c r="R26" s="5">
        <v>5</v>
      </c>
      <c r="V26" s="49"/>
      <c r="W26" s="49"/>
      <c r="X26" s="49"/>
    </row>
    <row r="27" spans="2:24" x14ac:dyDescent="0.25">
      <c r="B27" s="2">
        <v>4</v>
      </c>
      <c r="C27" s="6" t="s">
        <v>85</v>
      </c>
      <c r="D27" s="21">
        <v>128809.79</v>
      </c>
      <c r="E27" s="6">
        <v>1</v>
      </c>
      <c r="F27" s="21">
        <v>54135.94</v>
      </c>
      <c r="G27" s="6">
        <v>4</v>
      </c>
      <c r="H27">
        <v>-57.97</v>
      </c>
      <c r="I27" s="22">
        <v>22752.15</v>
      </c>
      <c r="J27" s="12">
        <v>8.6675554707448896E-3</v>
      </c>
    </row>
    <row r="28" spans="2:24" x14ac:dyDescent="0.25">
      <c r="B28" s="4">
        <v>7</v>
      </c>
      <c r="C28" s="7" t="s">
        <v>89</v>
      </c>
      <c r="D28" s="25">
        <v>60471.199999999997</v>
      </c>
      <c r="E28" s="7">
        <v>5</v>
      </c>
      <c r="F28" s="25">
        <v>48864.88</v>
      </c>
      <c r="G28" s="7">
        <v>5</v>
      </c>
      <c r="H28" s="1">
        <v>-19.190000000000001</v>
      </c>
      <c r="I28" s="26">
        <v>39486.18</v>
      </c>
      <c r="J28" s="12">
        <v>0.93936472238024038</v>
      </c>
    </row>
    <row r="37" spans="3:8" x14ac:dyDescent="0.25">
      <c r="C37" s="9" t="s">
        <v>142</v>
      </c>
      <c r="D37" s="9" t="s">
        <v>143</v>
      </c>
      <c r="E37" s="9" t="s">
        <v>144</v>
      </c>
      <c r="F37" s="9" t="s">
        <v>145</v>
      </c>
      <c r="G37" s="9" t="s">
        <v>99</v>
      </c>
      <c r="H37" s="9" t="s">
        <v>145</v>
      </c>
    </row>
    <row r="38" spans="3:8" x14ac:dyDescent="0.25">
      <c r="C38" s="6" t="s">
        <v>85</v>
      </c>
      <c r="D38" s="19">
        <v>128809.79</v>
      </c>
      <c r="E38" s="19">
        <v>54135.94</v>
      </c>
      <c r="F38" s="14">
        <v>-57.97</v>
      </c>
      <c r="G38" s="22">
        <v>22752.15</v>
      </c>
      <c r="H38" s="28">
        <v>-0.57999999999999996</v>
      </c>
    </row>
    <row r="39" spans="3:8" x14ac:dyDescent="0.25">
      <c r="C39" s="6" t="s">
        <v>87</v>
      </c>
      <c r="D39" s="19">
        <v>93148.08</v>
      </c>
      <c r="E39" s="19">
        <v>63195.01</v>
      </c>
      <c r="F39" s="14">
        <v>-32.159999999999997</v>
      </c>
      <c r="G39" s="22">
        <v>42873.77</v>
      </c>
      <c r="H39" s="29">
        <v>-0.32</v>
      </c>
    </row>
    <row r="40" spans="3:8" x14ac:dyDescent="0.25">
      <c r="C40" s="6" t="s">
        <v>86</v>
      </c>
      <c r="D40" s="19">
        <v>108026.16</v>
      </c>
      <c r="E40" s="19">
        <v>76562.73</v>
      </c>
      <c r="F40" s="14">
        <v>-29.13</v>
      </c>
      <c r="G40" s="22">
        <v>54263.26</v>
      </c>
      <c r="H40" s="29">
        <v>-0.28999999999999998</v>
      </c>
    </row>
    <row r="41" spans="3:8" x14ac:dyDescent="0.25">
      <c r="C41" s="6" t="s">
        <v>89</v>
      </c>
      <c r="D41" s="19">
        <v>60471.199999999997</v>
      </c>
      <c r="E41" s="19">
        <v>48864.88</v>
      </c>
      <c r="F41" s="14">
        <v>-19.190000000000001</v>
      </c>
      <c r="G41" s="22">
        <v>39486.18</v>
      </c>
      <c r="H41" s="28">
        <v>-0.19</v>
      </c>
    </row>
    <row r="42" spans="3:8" x14ac:dyDescent="0.25">
      <c r="C42" s="7" t="s">
        <v>88</v>
      </c>
      <c r="D42" s="20">
        <v>70444.14</v>
      </c>
      <c r="E42" s="20">
        <v>74336.56</v>
      </c>
      <c r="F42" s="27">
        <v>5.53</v>
      </c>
      <c r="G42" s="26">
        <v>78444.06</v>
      </c>
      <c r="H42" s="28">
        <v>0.06</v>
      </c>
    </row>
    <row r="62" spans="3:11" x14ac:dyDescent="0.25">
      <c r="C62" t="s">
        <v>90</v>
      </c>
      <c r="D62" t="s">
        <v>94</v>
      </c>
      <c r="E62" t="s">
        <v>95</v>
      </c>
      <c r="F62" t="s">
        <v>96</v>
      </c>
      <c r="G62" t="s">
        <v>169</v>
      </c>
      <c r="H62" t="s">
        <v>97</v>
      </c>
      <c r="I62" t="s">
        <v>98</v>
      </c>
      <c r="J62" t="s">
        <v>99</v>
      </c>
    </row>
    <row r="63" spans="3:11" x14ac:dyDescent="0.25">
      <c r="C63">
        <v>4</v>
      </c>
      <c r="D63" t="s">
        <v>85</v>
      </c>
      <c r="E63">
        <v>128809.79</v>
      </c>
      <c r="F63">
        <v>1</v>
      </c>
      <c r="G63">
        <v>129926.26</v>
      </c>
      <c r="H63">
        <v>4</v>
      </c>
      <c r="I63">
        <v>0.87</v>
      </c>
      <c r="J63">
        <v>131052.41</v>
      </c>
      <c r="K63" s="12">
        <f>I63/100</f>
        <v>8.6999999999999994E-3</v>
      </c>
    </row>
    <row r="64" spans="3:11" x14ac:dyDescent="0.25">
      <c r="C64">
        <v>1</v>
      </c>
      <c r="D64" t="s">
        <v>87</v>
      </c>
      <c r="E64">
        <v>93148.08</v>
      </c>
      <c r="F64">
        <v>3</v>
      </c>
      <c r="G64">
        <v>151668.03</v>
      </c>
      <c r="H64">
        <v>3</v>
      </c>
      <c r="I64">
        <v>62.82</v>
      </c>
      <c r="J64">
        <v>246952.93</v>
      </c>
      <c r="K64" s="12">
        <f>I64/100</f>
        <v>0.62819999999999998</v>
      </c>
    </row>
    <row r="65" spans="3:14" x14ac:dyDescent="0.25">
      <c r="C65">
        <v>3</v>
      </c>
      <c r="D65" t="s">
        <v>86</v>
      </c>
      <c r="E65">
        <v>108026.16</v>
      </c>
      <c r="F65">
        <v>2</v>
      </c>
      <c r="G65">
        <v>183750.55</v>
      </c>
      <c r="H65">
        <v>1</v>
      </c>
      <c r="I65">
        <v>70.099999999999994</v>
      </c>
      <c r="J65">
        <v>312556.37</v>
      </c>
      <c r="K65" s="12">
        <f>I65/100</f>
        <v>0.70099999999999996</v>
      </c>
      <c r="N65" s="53" t="s">
        <v>179</v>
      </c>
    </row>
    <row r="66" spans="3:14" x14ac:dyDescent="0.25">
      <c r="C66">
        <v>7</v>
      </c>
      <c r="D66" t="s">
        <v>89</v>
      </c>
      <c r="E66">
        <v>60471.199999999997</v>
      </c>
      <c r="F66">
        <v>5</v>
      </c>
      <c r="G66">
        <v>117275.71</v>
      </c>
      <c r="H66">
        <v>5</v>
      </c>
      <c r="I66">
        <v>93.94</v>
      </c>
      <c r="J66">
        <v>227440.37</v>
      </c>
      <c r="K66" s="12">
        <f>I66/100</f>
        <v>0.93940000000000001</v>
      </c>
    </row>
    <row r="67" spans="3:14" x14ac:dyDescent="0.25">
      <c r="C67">
        <v>2</v>
      </c>
      <c r="D67" t="s">
        <v>88</v>
      </c>
      <c r="E67">
        <v>70444.14</v>
      </c>
      <c r="F67">
        <v>4</v>
      </c>
      <c r="G67">
        <v>178407.73</v>
      </c>
      <c r="H67">
        <v>2</v>
      </c>
      <c r="I67">
        <v>153.26</v>
      </c>
      <c r="J67">
        <v>451837.7</v>
      </c>
      <c r="K67" s="12">
        <f>I67/100</f>
        <v>1.5326</v>
      </c>
    </row>
  </sheetData>
  <sortState xmlns:xlrd2="http://schemas.microsoft.com/office/spreadsheetml/2017/richdata2" ref="I6:N10">
    <sortCondition descending="1" ref="N6:N10"/>
  </sortState>
  <mergeCells count="2">
    <mergeCell ref="Q6:S6"/>
    <mergeCell ref="Q20:R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93E0-6954-497A-87B1-754F75DC4BB9}">
  <dimension ref="B1:AQ73"/>
  <sheetViews>
    <sheetView tabSelected="1" topLeftCell="H13" zoomScale="160" zoomScaleNormal="160" workbookViewId="0">
      <selection activeCell="J24" sqref="J24"/>
    </sheetView>
  </sheetViews>
  <sheetFormatPr defaultRowHeight="15" x14ac:dyDescent="0.25"/>
  <cols>
    <col min="2" max="2" width="21" customWidth="1"/>
    <col min="3" max="3" width="29.28515625" customWidth="1"/>
    <col min="4" max="4" width="13.28515625" customWidth="1"/>
    <col min="5" max="5" width="12.5703125" customWidth="1"/>
    <col min="6" max="6" width="15.140625" customWidth="1"/>
    <col min="7" max="7" width="16.28515625" customWidth="1"/>
    <col min="8" max="8" width="15.5703125" customWidth="1"/>
    <col min="10" max="10" width="9.140625" customWidth="1"/>
    <col min="13" max="13" width="27" bestFit="1" customWidth="1"/>
    <col min="17" max="17" width="27" customWidth="1"/>
    <col min="18" max="18" width="10.7109375" customWidth="1"/>
    <col min="43" max="43" width="7.140625" customWidth="1"/>
  </cols>
  <sheetData>
    <row r="1" spans="2:24" x14ac:dyDescent="0.25">
      <c r="B1" t="s">
        <v>100</v>
      </c>
      <c r="Q1" s="34" t="s">
        <v>158</v>
      </c>
      <c r="R1" s="38" t="s">
        <v>107</v>
      </c>
    </row>
    <row r="2" spans="2:24" x14ac:dyDescent="0.25">
      <c r="B2" t="s">
        <v>101</v>
      </c>
      <c r="J2">
        <v>1265793.04</v>
      </c>
      <c r="Q2" s="6" t="s">
        <v>121</v>
      </c>
      <c r="R2" s="3">
        <v>546</v>
      </c>
    </row>
    <row r="3" spans="2:24" x14ac:dyDescent="0.25">
      <c r="B3" t="s">
        <v>102</v>
      </c>
      <c r="Q3" s="6" t="s">
        <v>117</v>
      </c>
      <c r="R3" s="3">
        <v>545</v>
      </c>
    </row>
    <row r="4" spans="2:24" x14ac:dyDescent="0.25">
      <c r="B4" t="s">
        <v>103</v>
      </c>
      <c r="Q4" s="6" t="s">
        <v>113</v>
      </c>
      <c r="R4" s="3">
        <v>530</v>
      </c>
    </row>
    <row r="5" spans="2:24" x14ac:dyDescent="0.25">
      <c r="B5" t="s">
        <v>104</v>
      </c>
      <c r="Q5" s="6" t="s">
        <v>119</v>
      </c>
      <c r="R5" s="3">
        <v>518</v>
      </c>
    </row>
    <row r="6" spans="2:24" x14ac:dyDescent="0.25">
      <c r="Q6" s="7" t="s">
        <v>115</v>
      </c>
      <c r="R6" s="5">
        <v>506</v>
      </c>
    </row>
    <row r="7" spans="2:24" x14ac:dyDescent="0.25">
      <c r="Q7" s="101" t="s">
        <v>201</v>
      </c>
      <c r="R7" s="102"/>
      <c r="V7" s="9" t="s">
        <v>106</v>
      </c>
      <c r="W7" s="9" t="s">
        <v>108</v>
      </c>
      <c r="X7" s="10" t="s">
        <v>109</v>
      </c>
    </row>
    <row r="8" spans="2:24" x14ac:dyDescent="0.25">
      <c r="B8" s="8" t="s">
        <v>105</v>
      </c>
      <c r="C8" s="9" t="s">
        <v>106</v>
      </c>
      <c r="D8" s="10" t="s">
        <v>107</v>
      </c>
      <c r="E8" s="9" t="s">
        <v>108</v>
      </c>
      <c r="F8" s="10" t="s">
        <v>109</v>
      </c>
      <c r="G8" s="9" t="s">
        <v>110</v>
      </c>
      <c r="H8" s="11" t="s">
        <v>111</v>
      </c>
      <c r="I8" s="3" t="s">
        <v>147</v>
      </c>
      <c r="Q8" s="34" t="s">
        <v>158</v>
      </c>
      <c r="R8" s="34" t="s">
        <v>157</v>
      </c>
      <c r="V8" s="6" t="s">
        <v>115</v>
      </c>
      <c r="W8" s="6">
        <v>61</v>
      </c>
      <c r="X8">
        <v>28</v>
      </c>
    </row>
    <row r="9" spans="2:24" x14ac:dyDescent="0.25">
      <c r="B9" s="2" t="s">
        <v>112</v>
      </c>
      <c r="C9" s="6" t="s">
        <v>113</v>
      </c>
      <c r="D9">
        <v>530</v>
      </c>
      <c r="E9" s="41">
        <v>78</v>
      </c>
      <c r="F9" s="42">
        <v>22</v>
      </c>
      <c r="G9" s="22">
        <v>98327.23</v>
      </c>
      <c r="H9" s="30">
        <v>4469.42</v>
      </c>
      <c r="I9" s="12">
        <f>G9/$B$16</f>
        <v>7.7680337063632449E-2</v>
      </c>
      <c r="J9" s="12">
        <f>G9/$G$14</f>
        <v>0.27077219697856753</v>
      </c>
      <c r="Q9" s="6" t="s">
        <v>121</v>
      </c>
      <c r="R9" s="30">
        <v>4469.42</v>
      </c>
      <c r="V9" s="6" t="s">
        <v>117</v>
      </c>
      <c r="W9" s="6">
        <v>57</v>
      </c>
      <c r="X9">
        <v>24</v>
      </c>
    </row>
    <row r="10" spans="2:24" x14ac:dyDescent="0.25">
      <c r="B10" s="2" t="s">
        <v>114</v>
      </c>
      <c r="C10" s="6" t="s">
        <v>115</v>
      </c>
      <c r="D10">
        <v>506</v>
      </c>
      <c r="E10" s="41">
        <v>61</v>
      </c>
      <c r="F10" s="42">
        <v>28</v>
      </c>
      <c r="G10" s="22">
        <v>94023.679999999993</v>
      </c>
      <c r="H10" s="30">
        <v>3357.99</v>
      </c>
      <c r="I10" s="12">
        <f>G10/$B$16</f>
        <v>7.4280452671789052E-2</v>
      </c>
      <c r="J10" s="12">
        <f>G10/$G$14</f>
        <v>0.25892113915555026</v>
      </c>
      <c r="Q10" s="6" t="s">
        <v>117</v>
      </c>
      <c r="R10" s="30">
        <v>3357.99</v>
      </c>
      <c r="V10" s="6" t="s">
        <v>113</v>
      </c>
      <c r="W10" s="6">
        <v>78</v>
      </c>
      <c r="X10">
        <v>22</v>
      </c>
    </row>
    <row r="11" spans="2:24" x14ac:dyDescent="0.25">
      <c r="B11" s="2" t="s">
        <v>116</v>
      </c>
      <c r="C11" s="6" t="s">
        <v>117</v>
      </c>
      <c r="D11">
        <v>545</v>
      </c>
      <c r="E11" s="41">
        <v>57</v>
      </c>
      <c r="F11" s="42">
        <v>24</v>
      </c>
      <c r="G11" s="22">
        <v>89306.91</v>
      </c>
      <c r="H11" s="30">
        <v>3721.12</v>
      </c>
      <c r="I11" s="12">
        <f>G11/$B$16</f>
        <v>7.0554116808858425E-2</v>
      </c>
      <c r="J11" s="12">
        <f>G11/$G$14</f>
        <v>0.24593216168163387</v>
      </c>
      <c r="Q11" s="6" t="s">
        <v>113</v>
      </c>
      <c r="R11" s="30">
        <v>3721.12</v>
      </c>
      <c r="V11" s="6" t="s">
        <v>119</v>
      </c>
      <c r="W11" s="6">
        <v>62</v>
      </c>
      <c r="X11">
        <v>14</v>
      </c>
    </row>
    <row r="12" spans="2:24" x14ac:dyDescent="0.25">
      <c r="B12" s="2" t="s">
        <v>118</v>
      </c>
      <c r="C12" s="6" t="s">
        <v>119</v>
      </c>
      <c r="D12">
        <v>518</v>
      </c>
      <c r="E12" s="41">
        <v>62</v>
      </c>
      <c r="F12" s="42">
        <v>14</v>
      </c>
      <c r="G12" s="22">
        <v>40856.519999999997</v>
      </c>
      <c r="H12" s="30">
        <v>2918.32</v>
      </c>
      <c r="I12" s="12">
        <f>G12/$B$16</f>
        <v>3.2277409267473925E-2</v>
      </c>
      <c r="J12" s="12">
        <f>G12/$G$14</f>
        <v>0.11251013255736771</v>
      </c>
      <c r="Q12" s="6" t="s">
        <v>119</v>
      </c>
      <c r="R12" s="30">
        <v>2918.32</v>
      </c>
      <c r="V12" s="7" t="s">
        <v>121</v>
      </c>
      <c r="W12" s="7">
        <v>56</v>
      </c>
      <c r="X12" s="1">
        <v>12</v>
      </c>
    </row>
    <row r="13" spans="2:24" x14ac:dyDescent="0.25">
      <c r="B13" s="4" t="s">
        <v>120</v>
      </c>
      <c r="C13" s="7" t="s">
        <v>121</v>
      </c>
      <c r="D13" s="1">
        <v>546</v>
      </c>
      <c r="E13" s="43">
        <v>56</v>
      </c>
      <c r="F13" s="44">
        <v>12</v>
      </c>
      <c r="G13" s="26">
        <v>40622.019999999997</v>
      </c>
      <c r="H13" s="31">
        <v>3385.17</v>
      </c>
      <c r="I13" s="12">
        <f>G13/$B$16</f>
        <v>3.2092149914175541E-2</v>
      </c>
      <c r="J13" s="12">
        <f>G13/$G$14</f>
        <v>0.11186436962688065</v>
      </c>
      <c r="Q13" s="7" t="s">
        <v>115</v>
      </c>
      <c r="R13" s="31">
        <v>3385.17</v>
      </c>
    </row>
    <row r="14" spans="2:24" x14ac:dyDescent="0.25">
      <c r="G14" s="16">
        <f>SUM(G9:G13)</f>
        <v>363136.36</v>
      </c>
    </row>
    <row r="15" spans="2:24" x14ac:dyDescent="0.25">
      <c r="B15" t="s">
        <v>6</v>
      </c>
      <c r="G15" s="12">
        <f>G14/B16</f>
        <v>0.28688446572592941</v>
      </c>
    </row>
    <row r="16" spans="2:24" x14ac:dyDescent="0.25">
      <c r="B16" s="15">
        <v>1265793.04</v>
      </c>
    </row>
    <row r="21" spans="42:43" ht="15.75" x14ac:dyDescent="0.25">
      <c r="AP21" s="79" t="s">
        <v>202</v>
      </c>
      <c r="AQ21" s="80" t="s">
        <v>107</v>
      </c>
    </row>
    <row r="22" spans="42:43" ht="15.75" x14ac:dyDescent="0.25">
      <c r="AP22" s="81" t="s">
        <v>116</v>
      </c>
      <c r="AQ22" s="82">
        <v>684</v>
      </c>
    </row>
    <row r="23" spans="42:43" ht="15.75" x14ac:dyDescent="0.25">
      <c r="AP23" s="81" t="s">
        <v>120</v>
      </c>
      <c r="AQ23" s="82">
        <v>679</v>
      </c>
    </row>
    <row r="24" spans="42:43" ht="15.75" x14ac:dyDescent="0.25">
      <c r="AP24" s="81" t="s">
        <v>112</v>
      </c>
      <c r="AQ24" s="82">
        <v>665</v>
      </c>
    </row>
    <row r="25" spans="42:43" ht="15.75" x14ac:dyDescent="0.25">
      <c r="AP25" s="81" t="s">
        <v>118</v>
      </c>
      <c r="AQ25" s="82">
        <v>634</v>
      </c>
    </row>
    <row r="26" spans="42:43" ht="15.75" x14ac:dyDescent="0.25">
      <c r="AP26" s="83" t="s">
        <v>114</v>
      </c>
      <c r="AQ26" s="84">
        <v>601</v>
      </c>
    </row>
    <row r="50" spans="4:14" x14ac:dyDescent="0.25">
      <c r="I50" t="s">
        <v>105</v>
      </c>
      <c r="J50" t="s">
        <v>107</v>
      </c>
      <c r="M50" t="s">
        <v>105</v>
      </c>
      <c r="N50" t="s">
        <v>111</v>
      </c>
    </row>
    <row r="51" spans="4:14" x14ac:dyDescent="0.25">
      <c r="I51" t="s">
        <v>114</v>
      </c>
      <c r="J51">
        <v>601</v>
      </c>
      <c r="M51" t="s">
        <v>118</v>
      </c>
      <c r="N51" s="61">
        <v>2630.52</v>
      </c>
    </row>
    <row r="52" spans="4:14" x14ac:dyDescent="0.25">
      <c r="I52" t="s">
        <v>118</v>
      </c>
      <c r="J52">
        <v>634</v>
      </c>
      <c r="M52" t="s">
        <v>120</v>
      </c>
      <c r="N52" s="61">
        <v>2931.89</v>
      </c>
    </row>
    <row r="53" spans="4:14" x14ac:dyDescent="0.25">
      <c r="D53" s="39" t="s">
        <v>164</v>
      </c>
      <c r="I53" t="s">
        <v>112</v>
      </c>
      <c r="J53">
        <v>665</v>
      </c>
      <c r="M53" t="s">
        <v>114</v>
      </c>
      <c r="N53" s="61">
        <v>3366.51</v>
      </c>
    </row>
    <row r="54" spans="4:14" x14ac:dyDescent="0.25">
      <c r="I54" t="s">
        <v>120</v>
      </c>
      <c r="J54">
        <v>679</v>
      </c>
      <c r="M54" t="s">
        <v>116</v>
      </c>
      <c r="N54" s="61">
        <v>3495.83</v>
      </c>
    </row>
    <row r="55" spans="4:14" x14ac:dyDescent="0.25">
      <c r="D55" s="39" t="s">
        <v>165</v>
      </c>
      <c r="E55" t="s">
        <v>203</v>
      </c>
      <c r="I55" t="s">
        <v>116</v>
      </c>
      <c r="J55">
        <v>684</v>
      </c>
      <c r="M55" t="s">
        <v>112</v>
      </c>
      <c r="N55" s="61">
        <v>3938.47</v>
      </c>
    </row>
    <row r="57" spans="4:14" x14ac:dyDescent="0.25">
      <c r="D57" s="39" t="s">
        <v>166</v>
      </c>
    </row>
    <row r="59" spans="4:14" x14ac:dyDescent="0.25">
      <c r="D59" s="39" t="s">
        <v>167</v>
      </c>
    </row>
    <row r="60" spans="4:14" ht="22.5" x14ac:dyDescent="0.3">
      <c r="M60" s="62" t="s">
        <v>187</v>
      </c>
    </row>
    <row r="61" spans="4:14" x14ac:dyDescent="0.25">
      <c r="D61" s="39" t="s">
        <v>168</v>
      </c>
    </row>
    <row r="65" spans="2:12" x14ac:dyDescent="0.25">
      <c r="B65" t="s">
        <v>105</v>
      </c>
      <c r="C65" t="s">
        <v>106</v>
      </c>
      <c r="D65" t="s">
        <v>108</v>
      </c>
      <c r="E65" t="s">
        <v>109</v>
      </c>
      <c r="F65" t="s">
        <v>110</v>
      </c>
      <c r="G65" t="s">
        <v>111</v>
      </c>
      <c r="H65" t="s">
        <v>107</v>
      </c>
      <c r="K65" t="s">
        <v>105</v>
      </c>
      <c r="L65" t="s">
        <v>111</v>
      </c>
    </row>
    <row r="66" spans="2:12" x14ac:dyDescent="0.25">
      <c r="B66" t="s">
        <v>112</v>
      </c>
      <c r="C66" t="s">
        <v>113</v>
      </c>
      <c r="D66">
        <v>48</v>
      </c>
      <c r="E66">
        <v>28</v>
      </c>
      <c r="F66" s="21">
        <v>110277.3</v>
      </c>
      <c r="G66" s="61">
        <v>3938.47</v>
      </c>
      <c r="H66">
        <v>665</v>
      </c>
      <c r="K66" t="s">
        <v>112</v>
      </c>
      <c r="L66" s="61">
        <v>3938.47</v>
      </c>
    </row>
    <row r="67" spans="2:12" x14ac:dyDescent="0.25">
      <c r="B67" t="s">
        <v>116</v>
      </c>
      <c r="C67" t="s">
        <v>117</v>
      </c>
      <c r="D67">
        <v>27</v>
      </c>
      <c r="E67">
        <v>30</v>
      </c>
      <c r="F67" s="21">
        <v>104874.98</v>
      </c>
      <c r="G67" s="61">
        <v>3495.83</v>
      </c>
      <c r="H67">
        <v>684</v>
      </c>
      <c r="K67" t="s">
        <v>116</v>
      </c>
      <c r="L67" s="61">
        <v>3495.83</v>
      </c>
    </row>
    <row r="68" spans="2:12" x14ac:dyDescent="0.25">
      <c r="B68" t="s">
        <v>114</v>
      </c>
      <c r="C68" t="s">
        <v>115</v>
      </c>
      <c r="D68">
        <v>31</v>
      </c>
      <c r="E68">
        <v>31</v>
      </c>
      <c r="F68" s="21">
        <v>104361.95</v>
      </c>
      <c r="G68" s="61">
        <v>3366.51</v>
      </c>
      <c r="H68">
        <v>601</v>
      </c>
      <c r="K68" t="s">
        <v>114</v>
      </c>
      <c r="L68" s="61">
        <v>3366.51</v>
      </c>
    </row>
    <row r="69" spans="2:12" x14ac:dyDescent="0.25">
      <c r="B69" t="s">
        <v>120</v>
      </c>
      <c r="C69" t="s">
        <v>121</v>
      </c>
      <c r="D69">
        <v>26</v>
      </c>
      <c r="E69">
        <v>18</v>
      </c>
      <c r="F69" s="21">
        <v>51097.8</v>
      </c>
      <c r="G69" s="61">
        <v>2838.77</v>
      </c>
      <c r="H69">
        <v>679</v>
      </c>
      <c r="K69" t="s">
        <v>118</v>
      </c>
      <c r="L69" s="61">
        <v>2630.52</v>
      </c>
    </row>
    <row r="70" spans="2:12" x14ac:dyDescent="0.25">
      <c r="B70" t="s">
        <v>118</v>
      </c>
      <c r="C70" t="s">
        <v>119</v>
      </c>
      <c r="D70">
        <v>32</v>
      </c>
      <c r="E70">
        <v>19</v>
      </c>
      <c r="F70" s="21">
        <v>49979.91</v>
      </c>
      <c r="G70" s="61">
        <v>2630.52</v>
      </c>
      <c r="H70">
        <v>634</v>
      </c>
      <c r="K70" t="s">
        <v>120</v>
      </c>
      <c r="L70" s="61">
        <v>2931.89</v>
      </c>
    </row>
    <row r="72" spans="2:12" x14ac:dyDescent="0.25">
      <c r="D72">
        <f>MEDIAN(D66:D70)</f>
        <v>31</v>
      </c>
      <c r="E72">
        <f>MEDIAN(E66:E70)</f>
        <v>28</v>
      </c>
      <c r="F72" s="21">
        <f>SUM(F66:F70)</f>
        <v>420591.93999999994</v>
      </c>
    </row>
    <row r="73" spans="2:12" x14ac:dyDescent="0.25">
      <c r="D73">
        <f>AVERAGE(D66:D70)</f>
        <v>32.799999999999997</v>
      </c>
      <c r="E73">
        <f>AVERAGE(E66:E70)</f>
        <v>25.2</v>
      </c>
      <c r="F73" s="12">
        <f>F72/B16</f>
        <v>0.33227544054121194</v>
      </c>
    </row>
  </sheetData>
  <sortState xmlns:xlrd2="http://schemas.microsoft.com/office/spreadsheetml/2017/richdata2" ref="B66:H70">
    <sortCondition descending="1" ref="F66:F70"/>
  </sortState>
  <mergeCells count="1">
    <mergeCell ref="Q7:R7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SORU 1</vt:lpstr>
      <vt:lpstr>SORU 2</vt:lpstr>
      <vt:lpstr>SORU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Sarp Esenyel</dc:creator>
  <cp:lastModifiedBy>Sarp Esenyel</cp:lastModifiedBy>
  <dcterms:created xsi:type="dcterms:W3CDTF">2025-12-23T22:31:20Z</dcterms:created>
  <dcterms:modified xsi:type="dcterms:W3CDTF">2025-12-24T00:34:52Z</dcterms:modified>
</cp:coreProperties>
</file>